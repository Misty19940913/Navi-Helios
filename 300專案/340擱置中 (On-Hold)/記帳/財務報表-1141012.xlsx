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tables/table10.xml" ContentType="application/vnd.openxmlformats-officedocument.spreadsheetml.table+xml"/>
  <Override PartName="/xl/charts/style2.xml" ContentType="application/vnd.ms-office.chartstyle+xml"/>
  <Override PartName="/xl/charts/style1.xml" ContentType="application/vnd.ms-office.chartstyl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harts/colors2.xml" ContentType="application/vnd.ms-office.chartcolorstyle+xml"/>
  <Override PartName="/xl/metadata.xml" ContentType="application/vnd.openxmlformats-officedocument.spreadsheetml.sheetMetadata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olors1.xml" ContentType="application/vnd.ms-office.chartcolorstyl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-120" yWindow="-120" windowWidth="38640" windowHeight="16440" tabRatio="599" firstSheet="1" activeTab="8"/>
  </bookViews>
  <sheets>
    <sheet name="現金流量表 (手打、整合)" sheetId="20" r:id="rId1"/>
    <sheet name="DASHBOARD" sheetId="21" r:id="rId2"/>
    <sheet name="Resources" sheetId="22" r:id="rId3"/>
    <sheet name="評估表" sheetId="7" r:id="rId4"/>
    <sheet name="收入規劃" sheetId="23" r:id="rId5"/>
    <sheet name="支出規劃" sheetId="19" r:id="rId6"/>
    <sheet name="記帳區" sheetId="2" r:id="rId7"/>
    <sheet name="資產負債表" sheetId="8" r:id="rId8"/>
    <sheet name="現金流量表(連動)" sheetId="10" r:id="rId9"/>
    <sheet name="資產投資組合" sheetId="13" r:id="rId10"/>
    <sheet name="保險計畫表" sheetId="12" r:id="rId11"/>
    <sheet name="貸款試算" sheetId="18" r:id="rId12"/>
  </sheets>
  <definedNames>
    <definedName name="結餘">#REF!</definedName>
  </definedName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9"/>
  <c r="E9"/>
  <c r="F9"/>
  <c r="G9"/>
  <c r="H9"/>
  <c r="I9"/>
  <c r="J9"/>
  <c r="K9"/>
  <c r="L9"/>
  <c r="M9"/>
  <c r="N9"/>
  <c r="O9"/>
  <c r="P11"/>
  <c r="Q11" s="1"/>
  <c r="D10"/>
  <c r="E10"/>
  <c r="F10"/>
  <c r="G10"/>
  <c r="H10"/>
  <c r="I10"/>
  <c r="J10"/>
  <c r="K10"/>
  <c r="L10"/>
  <c r="M10"/>
  <c r="N10"/>
  <c r="O10"/>
  <c r="D15"/>
  <c r="E15"/>
  <c r="F15"/>
  <c r="G15"/>
  <c r="H15"/>
  <c r="I15"/>
  <c r="J15"/>
  <c r="K15"/>
  <c r="L15"/>
  <c r="M15"/>
  <c r="N15"/>
  <c r="O15"/>
  <c r="P17"/>
  <c r="Q17" s="1"/>
  <c r="P18"/>
  <c r="Q18" s="1"/>
  <c r="P19"/>
  <c r="Q19" s="1"/>
  <c r="D16"/>
  <c r="E16"/>
  <c r="F16"/>
  <c r="G16"/>
  <c r="H16"/>
  <c r="I16"/>
  <c r="J16"/>
  <c r="K16"/>
  <c r="L16"/>
  <c r="M16"/>
  <c r="N16"/>
  <c r="O16"/>
  <c r="D22"/>
  <c r="E22"/>
  <c r="F22"/>
  <c r="G22"/>
  <c r="H22"/>
  <c r="I22"/>
  <c r="J22"/>
  <c r="K22"/>
  <c r="L22"/>
  <c r="M22"/>
  <c r="N22"/>
  <c r="O22"/>
  <c r="P24"/>
  <c r="Q24" s="1"/>
  <c r="P25"/>
  <c r="Q25" s="1"/>
  <c r="P26"/>
  <c r="Q26" s="1"/>
  <c r="P27"/>
  <c r="Q27" s="1"/>
  <c r="P28"/>
  <c r="Q28" s="1"/>
  <c r="P29"/>
  <c r="Q29" s="1"/>
  <c r="P30"/>
  <c r="Q30" s="1"/>
  <c r="P31"/>
  <c r="Q31" s="1"/>
  <c r="D23"/>
  <c r="E23"/>
  <c r="F23"/>
  <c r="G23"/>
  <c r="H23"/>
  <c r="I23"/>
  <c r="J23"/>
  <c r="K23"/>
  <c r="L23"/>
  <c r="M23"/>
  <c r="N23"/>
  <c r="O23"/>
  <c r="D34"/>
  <c r="E34"/>
  <c r="F34"/>
  <c r="G34"/>
  <c r="H34"/>
  <c r="I34"/>
  <c r="J34"/>
  <c r="K34"/>
  <c r="L34"/>
  <c r="M34"/>
  <c r="N34"/>
  <c r="O34"/>
  <c r="P36"/>
  <c r="Q36" s="1"/>
  <c r="P37"/>
  <c r="Q37" s="1"/>
  <c r="P38"/>
  <c r="Q38" s="1"/>
  <c r="P39"/>
  <c r="Q39" s="1"/>
  <c r="P40"/>
  <c r="Q40" s="1"/>
  <c r="P41"/>
  <c r="Q41" s="1"/>
  <c r="D35"/>
  <c r="E35"/>
  <c r="F35"/>
  <c r="G35"/>
  <c r="H35"/>
  <c r="I35"/>
  <c r="J35"/>
  <c r="K35"/>
  <c r="L35"/>
  <c r="M35"/>
  <c r="N35"/>
  <c r="O35"/>
  <c r="D68"/>
  <c r="E68"/>
  <c r="F68"/>
  <c r="G68"/>
  <c r="H68"/>
  <c r="I68"/>
  <c r="J68"/>
  <c r="K68"/>
  <c r="L68"/>
  <c r="M68"/>
  <c r="N68"/>
  <c r="O68"/>
  <c r="P70"/>
  <c r="Q70" s="1"/>
  <c r="P71"/>
  <c r="Q71" s="1"/>
  <c r="P72"/>
  <c r="Q72" s="1"/>
  <c r="P73"/>
  <c r="Q73" s="1"/>
  <c r="D69"/>
  <c r="E69"/>
  <c r="F69"/>
  <c r="G69"/>
  <c r="H69"/>
  <c r="I69"/>
  <c r="J69"/>
  <c r="K69"/>
  <c r="L69"/>
  <c r="M69"/>
  <c r="N69"/>
  <c r="O69"/>
  <c r="D76"/>
  <c r="E76"/>
  <c r="F76"/>
  <c r="G76"/>
  <c r="H76"/>
  <c r="I76"/>
  <c r="J76"/>
  <c r="K76"/>
  <c r="L76"/>
  <c r="M76"/>
  <c r="N76"/>
  <c r="O76"/>
  <c r="P78"/>
  <c r="Q78" s="1"/>
  <c r="P79"/>
  <c r="Q79" s="1"/>
  <c r="P80"/>
  <c r="Q80" s="1"/>
  <c r="P81"/>
  <c r="Q81" s="1"/>
  <c r="P82"/>
  <c r="Q82" s="1"/>
  <c r="P83"/>
  <c r="Q83" s="1"/>
  <c r="P84"/>
  <c r="Q84" s="1"/>
  <c r="P85"/>
  <c r="Q85" s="1"/>
  <c r="P86"/>
  <c r="Q86" s="1"/>
  <c r="P87"/>
  <c r="Q87" s="1"/>
  <c r="P88"/>
  <c r="Q88" s="1"/>
  <c r="D77"/>
  <c r="E77"/>
  <c r="F77"/>
  <c r="G77"/>
  <c r="H77"/>
  <c r="I77"/>
  <c r="J77"/>
  <c r="K77"/>
  <c r="L77"/>
  <c r="M77"/>
  <c r="N77"/>
  <c r="O77"/>
  <c r="D91"/>
  <c r="E91"/>
  <c r="F91"/>
  <c r="G91"/>
  <c r="H91"/>
  <c r="I91"/>
  <c r="J91"/>
  <c r="K91"/>
  <c r="L91"/>
  <c r="M91"/>
  <c r="N91"/>
  <c r="O91"/>
  <c r="P93"/>
  <c r="Q93" s="1"/>
  <c r="P94"/>
  <c r="Q94" s="1"/>
  <c r="P95"/>
  <c r="Q95" s="1"/>
  <c r="P96"/>
  <c r="Q96" s="1"/>
  <c r="D92"/>
  <c r="E92"/>
  <c r="F92"/>
  <c r="G92"/>
  <c r="H92"/>
  <c r="I92"/>
  <c r="J92"/>
  <c r="K92"/>
  <c r="L92"/>
  <c r="M92"/>
  <c r="N92"/>
  <c r="O92"/>
  <c r="D100"/>
  <c r="E100"/>
  <c r="F100"/>
  <c r="G100"/>
  <c r="H100"/>
  <c r="I100"/>
  <c r="J100"/>
  <c r="K100"/>
  <c r="L100"/>
  <c r="M100"/>
  <c r="N100"/>
  <c r="O100"/>
  <c r="P102"/>
  <c r="Q102" s="1"/>
  <c r="P103"/>
  <c r="Q103" s="1"/>
  <c r="P104"/>
  <c r="Q104" s="1"/>
  <c r="P106"/>
  <c r="Q106" s="1"/>
  <c r="D101"/>
  <c r="E101"/>
  <c r="F101"/>
  <c r="G101"/>
  <c r="H101"/>
  <c r="I101"/>
  <c r="J101"/>
  <c r="K101"/>
  <c r="L101"/>
  <c r="M101"/>
  <c r="N101"/>
  <c r="O101"/>
  <c r="D52"/>
  <c r="E52"/>
  <c r="F52"/>
  <c r="G52"/>
  <c r="H52"/>
  <c r="I52"/>
  <c r="J52"/>
  <c r="K52"/>
  <c r="L52"/>
  <c r="M52"/>
  <c r="N52"/>
  <c r="O52"/>
  <c r="P54"/>
  <c r="Q54" s="1"/>
  <c r="P55"/>
  <c r="Q55" s="1"/>
  <c r="P56"/>
  <c r="Q56" s="1"/>
  <c r="P57"/>
  <c r="Q57" s="1"/>
  <c r="P58"/>
  <c r="Q58" s="1"/>
  <c r="D53"/>
  <c r="E53"/>
  <c r="F53"/>
  <c r="G53"/>
  <c r="H53"/>
  <c r="I53"/>
  <c r="J53"/>
  <c r="K53"/>
  <c r="L53"/>
  <c r="M53"/>
  <c r="N53"/>
  <c r="O53"/>
  <c r="D109"/>
  <c r="E109"/>
  <c r="F109"/>
  <c r="G109"/>
  <c r="H109"/>
  <c r="I109"/>
  <c r="J109"/>
  <c r="K109"/>
  <c r="L109"/>
  <c r="M109"/>
  <c r="N109"/>
  <c r="O109"/>
  <c r="P111"/>
  <c r="Q111" s="1"/>
  <c r="P112"/>
  <c r="Q112" s="1"/>
  <c r="P113"/>
  <c r="Q113" s="1"/>
  <c r="P114"/>
  <c r="Q114" s="1"/>
  <c r="D110"/>
  <c r="E110"/>
  <c r="F110"/>
  <c r="G110"/>
  <c r="H110"/>
  <c r="I110"/>
  <c r="J110"/>
  <c r="K110"/>
  <c r="L110"/>
  <c r="M110"/>
  <c r="N110"/>
  <c r="O110"/>
  <c r="D117"/>
  <c r="E117"/>
  <c r="F117"/>
  <c r="G117"/>
  <c r="H117"/>
  <c r="I117"/>
  <c r="J117"/>
  <c r="K117"/>
  <c r="L117"/>
  <c r="M117"/>
  <c r="N117"/>
  <c r="O117"/>
  <c r="P119"/>
  <c r="Q119" s="1"/>
  <c r="P126"/>
  <c r="Q126" s="1"/>
  <c r="D118"/>
  <c r="E118"/>
  <c r="F118"/>
  <c r="G118"/>
  <c r="H118"/>
  <c r="I118"/>
  <c r="J118"/>
  <c r="K118"/>
  <c r="L118"/>
  <c r="M118"/>
  <c r="N118"/>
  <c r="O118"/>
  <c r="D44"/>
  <c r="E44"/>
  <c r="F44"/>
  <c r="G44"/>
  <c r="H44"/>
  <c r="I44"/>
  <c r="J44"/>
  <c r="K44"/>
  <c r="L44"/>
  <c r="M44"/>
  <c r="N44"/>
  <c r="O44"/>
  <c r="P46"/>
  <c r="Q46" s="1"/>
  <c r="P47"/>
  <c r="Q47" s="1"/>
  <c r="P48"/>
  <c r="Q48" s="1"/>
  <c r="P49"/>
  <c r="Q49" s="1"/>
  <c r="D45"/>
  <c r="E45"/>
  <c r="F45"/>
  <c r="G45"/>
  <c r="H45"/>
  <c r="I45"/>
  <c r="J45"/>
  <c r="K45"/>
  <c r="L45"/>
  <c r="M45"/>
  <c r="N45"/>
  <c r="O45"/>
  <c r="D61"/>
  <c r="E61"/>
  <c r="F61"/>
  <c r="G61"/>
  <c r="H61"/>
  <c r="I61"/>
  <c r="J61"/>
  <c r="K61"/>
  <c r="L61"/>
  <c r="M61"/>
  <c r="N61"/>
  <c r="O61"/>
  <c r="P63"/>
  <c r="Q63" s="1"/>
  <c r="P64"/>
  <c r="Q64" s="1"/>
  <c r="P65"/>
  <c r="Q65" s="1"/>
  <c r="D62"/>
  <c r="E62"/>
  <c r="F62"/>
  <c r="G62"/>
  <c r="H62"/>
  <c r="I62"/>
  <c r="J62"/>
  <c r="K62"/>
  <c r="L62"/>
  <c r="M62"/>
  <c r="N62"/>
  <c r="O62"/>
  <c r="D129"/>
  <c r="E129"/>
  <c r="F129"/>
  <c r="G129"/>
  <c r="H129"/>
  <c r="I129"/>
  <c r="J129"/>
  <c r="K129"/>
  <c r="L129"/>
  <c r="M129"/>
  <c r="N129"/>
  <c r="O129"/>
  <c r="P131"/>
  <c r="Q131" s="1"/>
  <c r="D130"/>
  <c r="E130"/>
  <c r="F130"/>
  <c r="G130"/>
  <c r="H130"/>
  <c r="I130"/>
  <c r="J130"/>
  <c r="K130"/>
  <c r="L130"/>
  <c r="M130"/>
  <c r="N130"/>
  <c r="O130"/>
  <c r="R50" i="23"/>
  <c r="R44"/>
  <c r="R43"/>
  <c r="O6" i="19" l="1"/>
  <c r="O132" s="1"/>
  <c r="M6"/>
  <c r="M66" s="1"/>
  <c r="K6"/>
  <c r="K132" s="1"/>
  <c r="I6"/>
  <c r="I132" s="1"/>
  <c r="G6"/>
  <c r="G132" s="1"/>
  <c r="E6"/>
  <c r="E66" s="1"/>
  <c r="N6"/>
  <c r="N6" i="23" s="1"/>
  <c r="L6" i="19"/>
  <c r="L20" s="1"/>
  <c r="J6"/>
  <c r="H6"/>
  <c r="H6" i="23" s="1"/>
  <c r="F6" i="19"/>
  <c r="F6" i="23" s="1"/>
  <c r="D6" i="19"/>
  <c r="D6" i="23" s="1"/>
  <c r="J6"/>
  <c r="P45" i="19"/>
  <c r="P92"/>
  <c r="P77"/>
  <c r="P69"/>
  <c r="P35"/>
  <c r="P16"/>
  <c r="P130"/>
  <c r="P23"/>
  <c r="P10"/>
  <c r="N42"/>
  <c r="L66"/>
  <c r="Q62"/>
  <c r="Q35"/>
  <c r="Q16"/>
  <c r="Q130"/>
  <c r="P62"/>
  <c r="Q45"/>
  <c r="P118"/>
  <c r="Q118"/>
  <c r="P110"/>
  <c r="Q110"/>
  <c r="P53"/>
  <c r="Q53"/>
  <c r="P101"/>
  <c r="Q101"/>
  <c r="F97"/>
  <c r="Q92"/>
  <c r="Q77"/>
  <c r="Q69"/>
  <c r="Q23"/>
  <c r="Q10"/>
  <c r="P55" i="23"/>
  <c r="P54"/>
  <c r="O56"/>
  <c r="N56"/>
  <c r="M56"/>
  <c r="L56"/>
  <c r="K56"/>
  <c r="J56"/>
  <c r="I56"/>
  <c r="H56"/>
  <c r="G56"/>
  <c r="F56"/>
  <c r="E56"/>
  <c r="O52"/>
  <c r="N52"/>
  <c r="M52"/>
  <c r="L52"/>
  <c r="K52"/>
  <c r="J52"/>
  <c r="I52"/>
  <c r="H52"/>
  <c r="G52"/>
  <c r="F52"/>
  <c r="E52"/>
  <c r="D52"/>
  <c r="O46"/>
  <c r="N46"/>
  <c r="M46"/>
  <c r="L46"/>
  <c r="K46"/>
  <c r="J46"/>
  <c r="I46"/>
  <c r="H46"/>
  <c r="G46"/>
  <c r="F46"/>
  <c r="E46"/>
  <c r="D46"/>
  <c r="O35"/>
  <c r="N35"/>
  <c r="M35"/>
  <c r="L35"/>
  <c r="K35"/>
  <c r="J35"/>
  <c r="I35"/>
  <c r="H35"/>
  <c r="G35"/>
  <c r="F35"/>
  <c r="E35"/>
  <c r="D35"/>
  <c r="O26"/>
  <c r="N26"/>
  <c r="M26"/>
  <c r="L26"/>
  <c r="K26"/>
  <c r="J26"/>
  <c r="I26"/>
  <c r="H26"/>
  <c r="G26"/>
  <c r="F26"/>
  <c r="E26"/>
  <c r="D26"/>
  <c r="P33"/>
  <c r="Q33" s="1"/>
  <c r="P31"/>
  <c r="Q31" s="1"/>
  <c r="P30"/>
  <c r="Q30" s="1"/>
  <c r="P29"/>
  <c r="Q29" s="1"/>
  <c r="P28"/>
  <c r="Q28" s="1"/>
  <c r="P27"/>
  <c r="O25"/>
  <c r="N25"/>
  <c r="M25"/>
  <c r="L25"/>
  <c r="K25"/>
  <c r="J25"/>
  <c r="I25"/>
  <c r="H25"/>
  <c r="G25"/>
  <c r="F25"/>
  <c r="E25"/>
  <c r="D25"/>
  <c r="O19"/>
  <c r="N19"/>
  <c r="M19"/>
  <c r="L19"/>
  <c r="K19"/>
  <c r="J19"/>
  <c r="I19"/>
  <c r="H19"/>
  <c r="G19"/>
  <c r="F19"/>
  <c r="E19"/>
  <c r="D19"/>
  <c r="P23"/>
  <c r="Q23" s="1"/>
  <c r="P22"/>
  <c r="Q22" s="1"/>
  <c r="P21"/>
  <c r="Q21" s="1"/>
  <c r="P20"/>
  <c r="O18"/>
  <c r="N18"/>
  <c r="M18"/>
  <c r="L18"/>
  <c r="K18"/>
  <c r="J18"/>
  <c r="I18"/>
  <c r="H18"/>
  <c r="G18"/>
  <c r="F18"/>
  <c r="E18"/>
  <c r="D18"/>
  <c r="O10"/>
  <c r="O5" s="1"/>
  <c r="N10"/>
  <c r="N5" s="1"/>
  <c r="M10"/>
  <c r="M5" s="1"/>
  <c r="L10"/>
  <c r="L5" s="1"/>
  <c r="K10"/>
  <c r="K5" s="1"/>
  <c r="J10"/>
  <c r="J5" s="1"/>
  <c r="I10"/>
  <c r="I5" s="1"/>
  <c r="H10"/>
  <c r="H5" s="1"/>
  <c r="G10"/>
  <c r="G5" s="1"/>
  <c r="F10"/>
  <c r="F5" s="1"/>
  <c r="E10"/>
  <c r="E5" s="1"/>
  <c r="D10"/>
  <c r="D5" s="1"/>
  <c r="P16"/>
  <c r="Q16" s="1"/>
  <c r="P15"/>
  <c r="Q15" s="1"/>
  <c r="P14"/>
  <c r="Q14" s="1"/>
  <c r="P13"/>
  <c r="Q13" s="1"/>
  <c r="P12"/>
  <c r="Q12" s="1"/>
  <c r="P11"/>
  <c r="O9"/>
  <c r="N9"/>
  <c r="M9"/>
  <c r="L9"/>
  <c r="K9"/>
  <c r="J9"/>
  <c r="I9"/>
  <c r="H9"/>
  <c r="G9"/>
  <c r="F9"/>
  <c r="E9"/>
  <c r="D9"/>
  <c r="F50" i="7"/>
  <c r="F49"/>
  <c r="F46"/>
  <c r="F47"/>
  <c r="F48"/>
  <c r="F45"/>
  <c r="F44"/>
  <c r="F36"/>
  <c r="F38"/>
  <c r="F39"/>
  <c r="F40"/>
  <c r="F41"/>
  <c r="F42"/>
  <c r="F43"/>
  <c r="F37"/>
  <c r="C33"/>
  <c r="C32"/>
  <c r="B46"/>
  <c r="B38"/>
  <c r="B26"/>
  <c r="G49"/>
  <c r="G48"/>
  <c r="G47"/>
  <c r="G46"/>
  <c r="G45"/>
  <c r="G44"/>
  <c r="G43"/>
  <c r="G41"/>
  <c r="G40"/>
  <c r="G39"/>
  <c r="G38"/>
  <c r="G37"/>
  <c r="G36"/>
  <c r="B18"/>
  <c r="B10"/>
  <c r="B6"/>
  <c r="G5" i="8"/>
  <c r="G6"/>
  <c r="G7"/>
  <c r="G8"/>
  <c r="G9"/>
  <c r="G4"/>
  <c r="C5"/>
  <c r="C6"/>
  <c r="C7"/>
  <c r="C8"/>
  <c r="C9"/>
  <c r="C4"/>
  <c r="AO96" i="20"/>
  <c r="AP96"/>
  <c r="L31" i="8"/>
  <c r="L32"/>
  <c r="L14"/>
  <c r="L15"/>
  <c r="L16"/>
  <c r="L18"/>
  <c r="K36"/>
  <c r="L33" s="1"/>
  <c r="K10"/>
  <c r="L4" s="1"/>
  <c r="K19"/>
  <c r="L17" s="1"/>
  <c r="E2" i="20"/>
  <c r="H38"/>
  <c r="I38"/>
  <c r="J38"/>
  <c r="K38"/>
  <c r="L38"/>
  <c r="M38"/>
  <c r="N38"/>
  <c r="O38"/>
  <c r="P38"/>
  <c r="Q38"/>
  <c r="R38"/>
  <c r="S38"/>
  <c r="T38"/>
  <c r="U38"/>
  <c r="V38"/>
  <c r="W38"/>
  <c r="X38"/>
  <c r="Y38"/>
  <c r="Z38"/>
  <c r="AA38"/>
  <c r="AB38"/>
  <c r="AC38"/>
  <c r="AD38"/>
  <c r="AE38"/>
  <c r="AF38"/>
  <c r="AG38"/>
  <c r="AH38"/>
  <c r="AI38"/>
  <c r="AJ38"/>
  <c r="AK38"/>
  <c r="AL38"/>
  <c r="AM38"/>
  <c r="AN38"/>
  <c r="AO38"/>
  <c r="AP38"/>
  <c r="AQ38"/>
  <c r="AR38"/>
  <c r="AS38"/>
  <c r="AT38"/>
  <c r="AU38"/>
  <c r="AV38"/>
  <c r="G38"/>
  <c r="H3"/>
  <c r="I3" s="1"/>
  <c r="J3" s="1"/>
  <c r="K3" s="1"/>
  <c r="L3" s="1"/>
  <c r="M3" s="1"/>
  <c r="N3" s="1"/>
  <c r="O3" s="1"/>
  <c r="P3" s="1"/>
  <c r="Q3" s="1"/>
  <c r="R3" s="1"/>
  <c r="S3" s="1"/>
  <c r="T3" s="1"/>
  <c r="U3" s="1"/>
  <c r="V3" s="1"/>
  <c r="W3" s="1"/>
  <c r="X3" s="1"/>
  <c r="Y3" s="1"/>
  <c r="Z3" s="1"/>
  <c r="AA3" s="1"/>
  <c r="AB3" s="1"/>
  <c r="AC3" s="1"/>
  <c r="AD3" s="1"/>
  <c r="AE3" s="1"/>
  <c r="AF3" s="1"/>
  <c r="AG3" s="1"/>
  <c r="AH3" s="1"/>
  <c r="AI3" s="1"/>
  <c r="AJ3" s="1"/>
  <c r="AK3" s="1"/>
  <c r="AL3" s="1"/>
  <c r="AM3" s="1"/>
  <c r="AN3" s="1"/>
  <c r="AO3" s="1"/>
  <c r="AP3" s="1"/>
  <c r="AQ3" s="1"/>
  <c r="AR3" s="1"/>
  <c r="AS3" s="1"/>
  <c r="AT3" s="1"/>
  <c r="AU3" s="1"/>
  <c r="AV3" s="1"/>
  <c r="G7"/>
  <c r="H7"/>
  <c r="I7"/>
  <c r="J7"/>
  <c r="K7"/>
  <c r="L7"/>
  <c r="M7"/>
  <c r="N7"/>
  <c r="O7"/>
  <c r="P7"/>
  <c r="Q7"/>
  <c r="R7"/>
  <c r="S7"/>
  <c r="T7"/>
  <c r="U7"/>
  <c r="V7"/>
  <c r="W7"/>
  <c r="X7"/>
  <c r="Y7"/>
  <c r="Z7"/>
  <c r="AA7"/>
  <c r="AB7"/>
  <c r="AC7"/>
  <c r="AD7"/>
  <c r="AE7"/>
  <c r="AF7"/>
  <c r="AG7"/>
  <c r="AH7"/>
  <c r="AI7"/>
  <c r="AJ7"/>
  <c r="AK7"/>
  <c r="AL7"/>
  <c r="AM7"/>
  <c r="AN7"/>
  <c r="AO7"/>
  <c r="AP7"/>
  <c r="AQ7"/>
  <c r="AR7"/>
  <c r="AS7"/>
  <c r="AT7"/>
  <c r="AU7"/>
  <c r="AV7"/>
  <c r="G14"/>
  <c r="H14"/>
  <c r="I16"/>
  <c r="I14" s="1"/>
  <c r="J16"/>
  <c r="J14" s="1"/>
  <c r="K16"/>
  <c r="K14" s="1"/>
  <c r="L16"/>
  <c r="L14" s="1"/>
  <c r="M16"/>
  <c r="M14" s="1"/>
  <c r="N16"/>
  <c r="N14" s="1"/>
  <c r="O16"/>
  <c r="O14" s="1"/>
  <c r="P16"/>
  <c r="P14" s="1"/>
  <c r="Q16"/>
  <c r="Q14" s="1"/>
  <c r="R16"/>
  <c r="R14" s="1"/>
  <c r="S16"/>
  <c r="S14" s="1"/>
  <c r="G19"/>
  <c r="H19"/>
  <c r="I19"/>
  <c r="J19"/>
  <c r="K19"/>
  <c r="L19"/>
  <c r="M19"/>
  <c r="N19"/>
  <c r="O19"/>
  <c r="P19"/>
  <c r="Q19"/>
  <c r="R19"/>
  <c r="S19"/>
  <c r="T19"/>
  <c r="U19"/>
  <c r="V19"/>
  <c r="W19"/>
  <c r="X19"/>
  <c r="Y19"/>
  <c r="Z19"/>
  <c r="AA19"/>
  <c r="AB19"/>
  <c r="AC19"/>
  <c r="AD19"/>
  <c r="AE19"/>
  <c r="AF19"/>
  <c r="AG19"/>
  <c r="AH19"/>
  <c r="AI19"/>
  <c r="AJ19"/>
  <c r="AK19"/>
  <c r="AL19"/>
  <c r="AM19"/>
  <c r="AN19"/>
  <c r="AO19"/>
  <c r="AP19"/>
  <c r="AQ19"/>
  <c r="AR19"/>
  <c r="AS19"/>
  <c r="AT19"/>
  <c r="AU19"/>
  <c r="AV19"/>
  <c r="G27"/>
  <c r="H27"/>
  <c r="I27"/>
  <c r="J27"/>
  <c r="K27"/>
  <c r="L27"/>
  <c r="M27"/>
  <c r="N27"/>
  <c r="O27"/>
  <c r="P27"/>
  <c r="Q27"/>
  <c r="R27"/>
  <c r="S27"/>
  <c r="AK31"/>
  <c r="AL31" s="1"/>
  <c r="AM31" s="1"/>
  <c r="AN31" s="1"/>
  <c r="AO31" s="1"/>
  <c r="AP31" s="1"/>
  <c r="AQ31" s="1"/>
  <c r="AR31" s="1"/>
  <c r="AS31" s="1"/>
  <c r="AT31" s="1"/>
  <c r="AU31" s="1"/>
  <c r="AV31" s="1"/>
  <c r="AA37"/>
  <c r="I41"/>
  <c r="J41"/>
  <c r="K41"/>
  <c r="L41"/>
  <c r="M41"/>
  <c r="N41"/>
  <c r="O41"/>
  <c r="P41"/>
  <c r="Q41"/>
  <c r="R41"/>
  <c r="S41"/>
  <c r="T41"/>
  <c r="U41"/>
  <c r="V41"/>
  <c r="W41"/>
  <c r="X41"/>
  <c r="Y41"/>
  <c r="Z41"/>
  <c r="AA41"/>
  <c r="AB41"/>
  <c r="AC41"/>
  <c r="AD41"/>
  <c r="AE41"/>
  <c r="AF41"/>
  <c r="AG41"/>
  <c r="AH41"/>
  <c r="AI41"/>
  <c r="AJ41"/>
  <c r="AK41"/>
  <c r="AL41"/>
  <c r="AM41"/>
  <c r="AN41"/>
  <c r="AO41"/>
  <c r="AP41"/>
  <c r="AQ41"/>
  <c r="AR41"/>
  <c r="AS41"/>
  <c r="AT41"/>
  <c r="AU41"/>
  <c r="AV41"/>
  <c r="I45"/>
  <c r="J45"/>
  <c r="K45"/>
  <c r="L45"/>
  <c r="M45"/>
  <c r="N45"/>
  <c r="O45"/>
  <c r="P45"/>
  <c r="Q45"/>
  <c r="R45"/>
  <c r="R37" s="1"/>
  <c r="S45"/>
  <c r="S37" s="1"/>
  <c r="T45"/>
  <c r="U45"/>
  <c r="V45"/>
  <c r="W45"/>
  <c r="X45"/>
  <c r="Y45"/>
  <c r="Z45"/>
  <c r="AA45"/>
  <c r="AB45"/>
  <c r="AC45"/>
  <c r="AD45"/>
  <c r="AE45"/>
  <c r="AF45"/>
  <c r="AG45"/>
  <c r="AH45"/>
  <c r="AI45"/>
  <c r="AJ45"/>
  <c r="AK45"/>
  <c r="AL45"/>
  <c r="AM45"/>
  <c r="AN45"/>
  <c r="AO45"/>
  <c r="AP45"/>
  <c r="AP37" s="1"/>
  <c r="AQ45"/>
  <c r="AQ37" s="1"/>
  <c r="AR45"/>
  <c r="AS45"/>
  <c r="AT45"/>
  <c r="AU45"/>
  <c r="AV45"/>
  <c r="I53"/>
  <c r="I60"/>
  <c r="I65"/>
  <c r="G70"/>
  <c r="H70"/>
  <c r="I70"/>
  <c r="J70"/>
  <c r="K70"/>
  <c r="L70"/>
  <c r="M70"/>
  <c r="N70"/>
  <c r="O70"/>
  <c r="P70"/>
  <c r="Q70"/>
  <c r="R70"/>
  <c r="S70"/>
  <c r="T70"/>
  <c r="U70"/>
  <c r="V70"/>
  <c r="W70"/>
  <c r="X70"/>
  <c r="Y70"/>
  <c r="Z70"/>
  <c r="AA70"/>
  <c r="AB70"/>
  <c r="AC70"/>
  <c r="AD70"/>
  <c r="AE70"/>
  <c r="AF70"/>
  <c r="AG70"/>
  <c r="AH70"/>
  <c r="AI70"/>
  <c r="AJ70"/>
  <c r="AK70"/>
  <c r="AL70"/>
  <c r="AM70"/>
  <c r="AN70"/>
  <c r="AO70"/>
  <c r="AP70"/>
  <c r="AQ70"/>
  <c r="AR70"/>
  <c r="AS70"/>
  <c r="AT70"/>
  <c r="AU70"/>
  <c r="AV70"/>
  <c r="I81"/>
  <c r="I87"/>
  <c r="J87"/>
  <c r="K87"/>
  <c r="L87"/>
  <c r="M87"/>
  <c r="N87"/>
  <c r="O87"/>
  <c r="P87"/>
  <c r="Q87"/>
  <c r="R87"/>
  <c r="S87"/>
  <c r="T87"/>
  <c r="U87"/>
  <c r="V87"/>
  <c r="W87"/>
  <c r="X87"/>
  <c r="Y87"/>
  <c r="Z87"/>
  <c r="AA87"/>
  <c r="AB87"/>
  <c r="AC87"/>
  <c r="AD87"/>
  <c r="AE87"/>
  <c r="AF87"/>
  <c r="AG87"/>
  <c r="AH87"/>
  <c r="AI87"/>
  <c r="AJ87"/>
  <c r="AK87"/>
  <c r="AL87"/>
  <c r="AM87"/>
  <c r="AN87"/>
  <c r="AO87"/>
  <c r="AP87"/>
  <c r="AQ87"/>
  <c r="AR87"/>
  <c r="AS87"/>
  <c r="AT87"/>
  <c r="AU87"/>
  <c r="AV87"/>
  <c r="I93"/>
  <c r="I96"/>
  <c r="J96"/>
  <c r="K96"/>
  <c r="L96"/>
  <c r="M96"/>
  <c r="N96"/>
  <c r="O96"/>
  <c r="P96"/>
  <c r="Q96"/>
  <c r="R96"/>
  <c r="S96"/>
  <c r="T96"/>
  <c r="U96"/>
  <c r="V96"/>
  <c r="W96"/>
  <c r="X96"/>
  <c r="Y96"/>
  <c r="Z96"/>
  <c r="AA96"/>
  <c r="AB96"/>
  <c r="AC96"/>
  <c r="AD96"/>
  <c r="AE96"/>
  <c r="AF96"/>
  <c r="AG96"/>
  <c r="AH96"/>
  <c r="AI96"/>
  <c r="AJ96"/>
  <c r="AK96"/>
  <c r="AL96"/>
  <c r="AM96"/>
  <c r="AN96"/>
  <c r="AQ96"/>
  <c r="AR96"/>
  <c r="AS96"/>
  <c r="AT96"/>
  <c r="AU96"/>
  <c r="AV96"/>
  <c r="E6" a="1"/>
  <c r="F127" i="19" l="1"/>
  <c r="F89"/>
  <c r="F59"/>
  <c r="N66"/>
  <c r="F50"/>
  <c r="F20"/>
  <c r="L107"/>
  <c r="L32"/>
  <c r="L50"/>
  <c r="L132"/>
  <c r="L115"/>
  <c r="L74"/>
  <c r="L13"/>
  <c r="L6" i="23"/>
  <c r="L97" i="19"/>
  <c r="L59"/>
  <c r="L127"/>
  <c r="L89"/>
  <c r="L42"/>
  <c r="N97"/>
  <c r="N59"/>
  <c r="N127"/>
  <c r="F66"/>
  <c r="N50"/>
  <c r="F42"/>
  <c r="N89"/>
  <c r="N20"/>
  <c r="E89"/>
  <c r="I127"/>
  <c r="I32"/>
  <c r="M107"/>
  <c r="E132"/>
  <c r="E20"/>
  <c r="M42"/>
  <c r="I97"/>
  <c r="E115"/>
  <c r="M50"/>
  <c r="H42"/>
  <c r="I13"/>
  <c r="M20"/>
  <c r="E42"/>
  <c r="I74"/>
  <c r="M89"/>
  <c r="E107"/>
  <c r="I59"/>
  <c r="M115"/>
  <c r="E50"/>
  <c r="I66"/>
  <c r="M132"/>
  <c r="H59"/>
  <c r="H115"/>
  <c r="D127"/>
  <c r="D20"/>
  <c r="E13"/>
  <c r="M13"/>
  <c r="I20"/>
  <c r="E32"/>
  <c r="M32"/>
  <c r="I42"/>
  <c r="E74"/>
  <c r="M74"/>
  <c r="I89"/>
  <c r="E97"/>
  <c r="M97"/>
  <c r="I107"/>
  <c r="E59"/>
  <c r="M59"/>
  <c r="I115"/>
  <c r="E127"/>
  <c r="M127"/>
  <c r="I50"/>
  <c r="J97"/>
  <c r="J107"/>
  <c r="J59"/>
  <c r="J115"/>
  <c r="J127"/>
  <c r="H132"/>
  <c r="J50"/>
  <c r="D89"/>
  <c r="H89"/>
  <c r="H20"/>
  <c r="J42"/>
  <c r="G13"/>
  <c r="K13"/>
  <c r="O13"/>
  <c r="G20"/>
  <c r="K20"/>
  <c r="O20"/>
  <c r="G32"/>
  <c r="K32"/>
  <c r="O32"/>
  <c r="G42"/>
  <c r="K42"/>
  <c r="O42"/>
  <c r="G74"/>
  <c r="K74"/>
  <c r="O74"/>
  <c r="G89"/>
  <c r="K89"/>
  <c r="O89"/>
  <c r="G97"/>
  <c r="K97"/>
  <c r="O97"/>
  <c r="G107"/>
  <c r="K107"/>
  <c r="O107"/>
  <c r="G59"/>
  <c r="K59"/>
  <c r="O59"/>
  <c r="G115"/>
  <c r="K115"/>
  <c r="O115"/>
  <c r="G127"/>
  <c r="K127"/>
  <c r="O127"/>
  <c r="G50"/>
  <c r="K50"/>
  <c r="O50"/>
  <c r="G66"/>
  <c r="K66"/>
  <c r="O66"/>
  <c r="H50"/>
  <c r="J66"/>
  <c r="H97"/>
  <c r="H107"/>
  <c r="D59"/>
  <c r="H127"/>
  <c r="H66"/>
  <c r="J132"/>
  <c r="D42"/>
  <c r="H74"/>
  <c r="H32"/>
  <c r="H13"/>
  <c r="J89"/>
  <c r="J20"/>
  <c r="D50"/>
  <c r="D132"/>
  <c r="D107"/>
  <c r="D115"/>
  <c r="D66"/>
  <c r="D97"/>
  <c r="D74"/>
  <c r="D32"/>
  <c r="D13"/>
  <c r="J74"/>
  <c r="J32"/>
  <c r="J13"/>
  <c r="F107"/>
  <c r="N107"/>
  <c r="F115"/>
  <c r="N115"/>
  <c r="F132"/>
  <c r="N132"/>
  <c r="F74"/>
  <c r="F32"/>
  <c r="F13"/>
  <c r="N74"/>
  <c r="N32"/>
  <c r="N13"/>
  <c r="G6" i="23"/>
  <c r="G7" s="1"/>
  <c r="K6"/>
  <c r="K7" s="1"/>
  <c r="O6"/>
  <c r="O7" s="1"/>
  <c r="E6"/>
  <c r="E7" s="1"/>
  <c r="I6"/>
  <c r="I7" s="1"/>
  <c r="M6"/>
  <c r="M7" s="1"/>
  <c r="D7"/>
  <c r="D5" i="19"/>
  <c r="F7" i="23"/>
  <c r="F5" i="19"/>
  <c r="H7" i="23"/>
  <c r="H5" i="19"/>
  <c r="J7" i="23"/>
  <c r="J5" i="19"/>
  <c r="L7" i="23"/>
  <c r="L5" i="19"/>
  <c r="N7" i="23"/>
  <c r="N5" i="19"/>
  <c r="E5"/>
  <c r="G5"/>
  <c r="I5"/>
  <c r="K5"/>
  <c r="M5"/>
  <c r="O5"/>
  <c r="E6" i="20"/>
  <c r="D56" i="23"/>
  <c r="P53"/>
  <c r="P10"/>
  <c r="Q11"/>
  <c r="Q10" s="1"/>
  <c r="P19"/>
  <c r="Q20"/>
  <c r="Q19" s="1"/>
  <c r="P26"/>
  <c r="Q27"/>
  <c r="Q26" s="1"/>
  <c r="H36" i="7"/>
  <c r="H37"/>
  <c r="H38"/>
  <c r="H39"/>
  <c r="H40"/>
  <c r="G42"/>
  <c r="H42" s="1"/>
  <c r="H41"/>
  <c r="H43"/>
  <c r="H44"/>
  <c r="H45"/>
  <c r="H46"/>
  <c r="H47"/>
  <c r="G50"/>
  <c r="H50" s="1"/>
  <c r="H48"/>
  <c r="H49"/>
  <c r="G10" i="8"/>
  <c r="H5" s="1"/>
  <c r="Q13"/>
  <c r="L35"/>
  <c r="L34"/>
  <c r="L9"/>
  <c r="L8"/>
  <c r="L7"/>
  <c r="L6"/>
  <c r="L5"/>
  <c r="H37" i="20"/>
  <c r="G37"/>
  <c r="Y37"/>
  <c r="AV37"/>
  <c r="Q37"/>
  <c r="Z37"/>
  <c r="AO37"/>
  <c r="P37"/>
  <c r="O37"/>
  <c r="G6"/>
  <c r="AD37"/>
  <c r="AL37"/>
  <c r="N37"/>
  <c r="AM37"/>
  <c r="M37"/>
  <c r="AI37"/>
  <c r="K37"/>
  <c r="AN37"/>
  <c r="AS37"/>
  <c r="AK37"/>
  <c r="P6"/>
  <c r="AJ37"/>
  <c r="L37"/>
  <c r="AH37"/>
  <c r="J37"/>
  <c r="U37"/>
  <c r="S6"/>
  <c r="S5" s="1"/>
  <c r="R6"/>
  <c r="R5" s="1"/>
  <c r="Q6"/>
  <c r="AC37"/>
  <c r="AR37"/>
  <c r="T37"/>
  <c r="AB37"/>
  <c r="T16"/>
  <c r="T14" s="1"/>
  <c r="T6" s="1"/>
  <c r="H6"/>
  <c r="I6"/>
  <c r="AF37"/>
  <c r="O6"/>
  <c r="AG37"/>
  <c r="I37"/>
  <c r="N6"/>
  <c r="X37"/>
  <c r="M6"/>
  <c r="M5" s="1"/>
  <c r="AE37"/>
  <c r="AU37"/>
  <c r="W37"/>
  <c r="L6"/>
  <c r="L5" s="1"/>
  <c r="AT37"/>
  <c r="V37"/>
  <c r="K6"/>
  <c r="K5" s="1"/>
  <c r="J6"/>
  <c r="J5" s="1"/>
  <c r="E52" a="1"/>
  <c r="E29" a="1"/>
  <c r="E16" a="1"/>
  <c r="E73" a="1"/>
  <c r="E58" a="1"/>
  <c r="E33" a="1"/>
  <c r="E49" a="1"/>
  <c r="E104" a="1"/>
  <c r="E8" a="1"/>
  <c r="E95" a="1"/>
  <c r="E61" a="1"/>
  <c r="E103" a="1"/>
  <c r="E7" a="1"/>
  <c r="E53" a="1"/>
  <c r="E77" a="1"/>
  <c r="E64" a="1"/>
  <c r="E26" a="1"/>
  <c r="E106" a="1"/>
  <c r="E45" a="1"/>
  <c r="E97" a="1"/>
  <c r="E34" a="1"/>
  <c r="E20" a="1"/>
  <c r="E24" a="1"/>
  <c r="E109" a="1"/>
  <c r="E22" a="1"/>
  <c r="E19" a="1"/>
  <c r="E54" a="1"/>
  <c r="E30" a="1"/>
  <c r="E17" a="1"/>
  <c r="E86" a="1"/>
  <c r="E11" a="1"/>
  <c r="E57" a="1"/>
  <c r="E50" a="1"/>
  <c r="E70" a="1"/>
  <c r="E32" a="1"/>
  <c r="E84" a="1"/>
  <c r="E14" a="1"/>
  <c r="E82" a="1"/>
  <c r="E31" a="1"/>
  <c r="E90" a="1"/>
  <c r="E78" a="1"/>
  <c r="E65" a="1"/>
  <c r="E39" a="1"/>
  <c r="E59" a="1"/>
  <c r="E69" a="1"/>
  <c r="E98" a="1"/>
  <c r="E94" a="1"/>
  <c r="E44" a="1"/>
  <c r="E13" a="1"/>
  <c r="E110" a="1"/>
  <c r="E35" a="1"/>
  <c r="E43" a="1"/>
  <c r="E100" a="1"/>
  <c r="E40" a="1"/>
  <c r="E18" a="1"/>
  <c r="E75" a="1"/>
  <c r="E107" a="1"/>
  <c r="E81" a="1"/>
  <c r="E51" a="1"/>
  <c r="E23" a="1"/>
  <c r="E56" a="1"/>
  <c r="E85" a="1"/>
  <c r="E27" a="1"/>
  <c r="E71" a="1"/>
  <c r="E55" a="1"/>
  <c r="E101" a="1"/>
  <c r="E88" a="1"/>
  <c r="E66" a="1"/>
  <c r="E60" a="1"/>
  <c r="E12" a="1"/>
  <c r="E93" a="1"/>
  <c r="E87" a="1"/>
  <c r="E83" a="1"/>
  <c r="E68" a="1"/>
  <c r="E38" a="1"/>
  <c r="E99" a="1"/>
  <c r="E36" a="1"/>
  <c r="E67" a="1"/>
  <c r="E102" a="1"/>
  <c r="E41" a="1"/>
  <c r="E28" a="1"/>
  <c r="E62" a="1"/>
  <c r="E96" a="1"/>
  <c r="E105" a="1"/>
  <c r="E9" a="1"/>
  <c r="E48" a="1"/>
  <c r="E80" a="1"/>
  <c r="E74" a="1"/>
  <c r="E46" a="1"/>
  <c r="E72" a="1"/>
  <c r="E79" a="1"/>
  <c r="E42" a="1"/>
  <c r="E89" a="1"/>
  <c r="E76" a="1"/>
  <c r="E63" a="1"/>
  <c r="E25" a="1"/>
  <c r="E10" a="1"/>
  <c r="E21" a="1"/>
  <c r="E108" a="1"/>
  <c r="E92" a="1"/>
  <c r="E15" a="1"/>
  <c r="E47" a="1"/>
  <c r="E37" a="1"/>
  <c r="E91" a="1"/>
  <c r="P6" i="23" l="1"/>
  <c r="E19" i="20"/>
  <c r="F19" s="1"/>
  <c r="E43"/>
  <c r="E67"/>
  <c r="E91"/>
  <c r="E22"/>
  <c r="E35"/>
  <c r="E36"/>
  <c r="E37"/>
  <c r="E109"/>
  <c r="E110"/>
  <c r="E99"/>
  <c r="E47"/>
  <c r="E24"/>
  <c r="E13"/>
  <c r="E38"/>
  <c r="E15"/>
  <c r="E20"/>
  <c r="E44"/>
  <c r="E68"/>
  <c r="E92"/>
  <c r="E34"/>
  <c r="E94"/>
  <c r="E83"/>
  <c r="E108"/>
  <c r="E97"/>
  <c r="E98"/>
  <c r="E87"/>
  <c r="E21"/>
  <c r="E45"/>
  <c r="E69"/>
  <c r="E93"/>
  <c r="E10"/>
  <c r="E106"/>
  <c r="E59"/>
  <c r="E12"/>
  <c r="E25"/>
  <c r="E26"/>
  <c r="E39"/>
  <c r="E60"/>
  <c r="E63"/>
  <c r="E64"/>
  <c r="E65"/>
  <c r="E66"/>
  <c r="E76"/>
  <c r="E77"/>
  <c r="E78"/>
  <c r="E88"/>
  <c r="E89"/>
  <c r="E53"/>
  <c r="E90"/>
  <c r="E101"/>
  <c r="E42"/>
  <c r="E7"/>
  <c r="F7" s="1"/>
  <c r="E31"/>
  <c r="E55"/>
  <c r="E79"/>
  <c r="E103"/>
  <c r="E82"/>
  <c r="E71"/>
  <c r="E72"/>
  <c r="E61"/>
  <c r="E14"/>
  <c r="F14" s="1"/>
  <c r="E27"/>
  <c r="E46"/>
  <c r="E95"/>
  <c r="E84"/>
  <c r="E85"/>
  <c r="E74"/>
  <c r="E8"/>
  <c r="E32"/>
  <c r="E56"/>
  <c r="E80"/>
  <c r="E104"/>
  <c r="E70"/>
  <c r="E23"/>
  <c r="E48"/>
  <c r="E49"/>
  <c r="E50"/>
  <c r="E51"/>
  <c r="E9"/>
  <c r="E33"/>
  <c r="E57"/>
  <c r="E81"/>
  <c r="E105"/>
  <c r="E58"/>
  <c r="E11"/>
  <c r="E107"/>
  <c r="E96"/>
  <c r="E73"/>
  <c r="E86"/>
  <c r="E75"/>
  <c r="E62"/>
  <c r="E16"/>
  <c r="E17"/>
  <c r="E18"/>
  <c r="E28"/>
  <c r="E29"/>
  <c r="E30"/>
  <c r="E40"/>
  <c r="E41"/>
  <c r="E52"/>
  <c r="E54"/>
  <c r="E100"/>
  <c r="E102"/>
  <c r="F57" i="23"/>
  <c r="G57"/>
  <c r="H57"/>
  <c r="I57"/>
  <c r="J57"/>
  <c r="K57"/>
  <c r="L57"/>
  <c r="M57"/>
  <c r="N57"/>
  <c r="O57"/>
  <c r="E57"/>
  <c r="D57"/>
  <c r="P56"/>
  <c r="Q56"/>
  <c r="P7"/>
  <c r="Q7" s="1"/>
  <c r="Q6"/>
  <c r="H4" i="8"/>
  <c r="H7"/>
  <c r="H8"/>
  <c r="H9"/>
  <c r="H6"/>
  <c r="H5" i="20"/>
  <c r="G5"/>
  <c r="G4" s="1"/>
  <c r="P5"/>
  <c r="O5"/>
  <c r="T5"/>
  <c r="Q5"/>
  <c r="N5"/>
  <c r="H4"/>
  <c r="U16"/>
  <c r="U14" s="1"/>
  <c r="U6" s="1"/>
  <c r="U5" s="1"/>
  <c r="I5"/>
  <c r="V16"/>
  <c r="V14" s="1"/>
  <c r="V6" s="1"/>
  <c r="V5" s="1"/>
  <c r="Q57" i="23" l="1"/>
  <c r="I4" i="20"/>
  <c r="J4" s="1"/>
  <c r="K4" s="1"/>
  <c r="L4" s="1"/>
  <c r="M4" s="1"/>
  <c r="N4" s="1"/>
  <c r="O4" s="1"/>
  <c r="P4" s="1"/>
  <c r="Q4" s="1"/>
  <c r="R4" s="1"/>
  <c r="S4" s="1"/>
  <c r="T4" s="1"/>
  <c r="U4" s="1"/>
  <c r="V4" s="1"/>
  <c r="W16"/>
  <c r="W14" s="1"/>
  <c r="W6" s="1"/>
  <c r="W5" s="1"/>
  <c r="W4" l="1"/>
  <c r="X16"/>
  <c r="X14" s="1"/>
  <c r="X6" s="1"/>
  <c r="X5" s="1"/>
  <c r="X4" l="1"/>
  <c r="Y16"/>
  <c r="Y14" s="1"/>
  <c r="Y6" s="1"/>
  <c r="Y5" s="1"/>
  <c r="Y4" l="1"/>
  <c r="Z16"/>
  <c r="Z14" s="1"/>
  <c r="Z6" s="1"/>
  <c r="Z5" s="1"/>
  <c r="E37" i="23" l="1"/>
  <c r="E40"/>
  <c r="E42"/>
  <c r="O42"/>
  <c r="M42"/>
  <c r="K42"/>
  <c r="I42"/>
  <c r="G42"/>
  <c r="D42"/>
  <c r="N41"/>
  <c r="L41"/>
  <c r="J41"/>
  <c r="H41"/>
  <c r="F41"/>
  <c r="O40"/>
  <c r="M40"/>
  <c r="K40"/>
  <c r="I40"/>
  <c r="G40"/>
  <c r="D40"/>
  <c r="N39"/>
  <c r="L39"/>
  <c r="J39"/>
  <c r="H39"/>
  <c r="F39"/>
  <c r="O37"/>
  <c r="M37"/>
  <c r="K37"/>
  <c r="I37"/>
  <c r="G37"/>
  <c r="D37"/>
  <c r="N36"/>
  <c r="L36"/>
  <c r="J36"/>
  <c r="H36"/>
  <c r="F36"/>
  <c r="P5"/>
  <c r="Q5" s="1"/>
  <c r="E39"/>
  <c r="E41"/>
  <c r="E36"/>
  <c r="N42"/>
  <c r="L42"/>
  <c r="J42"/>
  <c r="H42"/>
  <c r="F42"/>
  <c r="O41"/>
  <c r="M41"/>
  <c r="K41"/>
  <c r="I41"/>
  <c r="G41"/>
  <c r="D41"/>
  <c r="N40"/>
  <c r="L40"/>
  <c r="J40"/>
  <c r="H40"/>
  <c r="F40"/>
  <c r="O39"/>
  <c r="M39"/>
  <c r="K39"/>
  <c r="I39"/>
  <c r="G39"/>
  <c r="D39"/>
  <c r="N37"/>
  <c r="L37"/>
  <c r="J37"/>
  <c r="H37"/>
  <c r="F37"/>
  <c r="O36"/>
  <c r="M36"/>
  <c r="K36"/>
  <c r="I36"/>
  <c r="G36"/>
  <c r="D36"/>
  <c r="Z4" i="20"/>
  <c r="AA16"/>
  <c r="AA14" s="1"/>
  <c r="AA6" s="1"/>
  <c r="AA5" s="1"/>
  <c r="P5" i="19"/>
  <c r="Q5" s="1"/>
  <c r="AB9" i="18"/>
  <c r="AB10"/>
  <c r="AB8"/>
  <c r="AA10"/>
  <c r="AA11" s="1"/>
  <c r="AA9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38"/>
  <c r="B39"/>
  <c r="B40"/>
  <c r="B41"/>
  <c r="B42"/>
  <c r="B43"/>
  <c r="B44"/>
  <c r="B45"/>
  <c r="B46"/>
  <c r="B47"/>
  <c r="B48"/>
  <c r="B49"/>
  <c r="B50"/>
  <c r="B51"/>
  <c r="B52"/>
  <c r="B53"/>
  <c r="B54"/>
  <c r="B55"/>
  <c r="B56"/>
  <c r="B57"/>
  <c r="B58"/>
  <c r="B59"/>
  <c r="B60"/>
  <c r="B61"/>
  <c r="B62"/>
  <c r="B63"/>
  <c r="B64"/>
  <c r="B65"/>
  <c r="B66"/>
  <c r="B67"/>
  <c r="B68"/>
  <c r="B69"/>
  <c r="B70"/>
  <c r="B71"/>
  <c r="B72"/>
  <c r="B73"/>
  <c r="B74"/>
  <c r="B75"/>
  <c r="B76"/>
  <c r="B77"/>
  <c r="B78"/>
  <c r="B79"/>
  <c r="B80"/>
  <c r="B81"/>
  <c r="B8"/>
  <c r="W2"/>
  <c r="W5"/>
  <c r="Z79"/>
  <c r="Y79"/>
  <c r="Z78"/>
  <c r="Y78"/>
  <c r="Z77"/>
  <c r="Y77"/>
  <c r="Z76"/>
  <c r="Y76"/>
  <c r="Z75"/>
  <c r="Y75"/>
  <c r="Z74"/>
  <c r="Y74"/>
  <c r="Z73"/>
  <c r="Y73"/>
  <c r="Z72"/>
  <c r="Y72"/>
  <c r="Z71"/>
  <c r="Y71"/>
  <c r="Z70"/>
  <c r="Y70"/>
  <c r="Z69"/>
  <c r="Y69"/>
  <c r="Z68"/>
  <c r="Y68"/>
  <c r="Z67"/>
  <c r="Y67"/>
  <c r="Z66"/>
  <c r="Y66"/>
  <c r="Z65"/>
  <c r="Y65"/>
  <c r="Z64"/>
  <c r="Y64"/>
  <c r="Z63"/>
  <c r="Y63"/>
  <c r="Z62"/>
  <c r="Y62"/>
  <c r="Z61"/>
  <c r="Y61"/>
  <c r="Z60"/>
  <c r="Y60"/>
  <c r="Z59"/>
  <c r="Y59"/>
  <c r="Z58"/>
  <c r="Y58"/>
  <c r="Z57"/>
  <c r="Y57"/>
  <c r="Z56"/>
  <c r="Y56"/>
  <c r="Z55"/>
  <c r="Y55"/>
  <c r="Z54"/>
  <c r="Y54"/>
  <c r="Z53"/>
  <c r="Y53"/>
  <c r="Z52"/>
  <c r="Y52"/>
  <c r="Z51"/>
  <c r="Y51"/>
  <c r="Z50"/>
  <c r="Y50"/>
  <c r="Z49"/>
  <c r="Y49"/>
  <c r="Z48"/>
  <c r="Y48"/>
  <c r="Z47"/>
  <c r="Y47"/>
  <c r="Z46"/>
  <c r="Y46"/>
  <c r="Z45"/>
  <c r="Y45"/>
  <c r="Z44"/>
  <c r="Y44"/>
  <c r="Z43"/>
  <c r="Y43"/>
  <c r="Z42"/>
  <c r="Y42"/>
  <c r="Z41"/>
  <c r="Y41"/>
  <c r="Z40"/>
  <c r="Y40"/>
  <c r="Z39"/>
  <c r="Y39"/>
  <c r="Z38"/>
  <c r="Y38"/>
  <c r="Z37"/>
  <c r="Y37"/>
  <c r="Z36"/>
  <c r="Y36"/>
  <c r="Z35"/>
  <c r="Y35"/>
  <c r="Z34"/>
  <c r="Y34"/>
  <c r="Z33"/>
  <c r="Y33"/>
  <c r="Z32"/>
  <c r="Y32"/>
  <c r="Z31"/>
  <c r="Y31"/>
  <c r="Z30"/>
  <c r="Y30"/>
  <c r="Z29"/>
  <c r="Y29"/>
  <c r="Z28"/>
  <c r="Y28"/>
  <c r="Z27"/>
  <c r="Y27"/>
  <c r="Z26"/>
  <c r="Y26"/>
  <c r="Z25"/>
  <c r="Y25"/>
  <c r="Z24"/>
  <c r="Y24"/>
  <c r="Z23"/>
  <c r="Y23"/>
  <c r="Z22"/>
  <c r="Y22"/>
  <c r="Z21"/>
  <c r="Y21"/>
  <c r="Z20"/>
  <c r="Y20"/>
  <c r="Z19"/>
  <c r="Y19"/>
  <c r="Z18"/>
  <c r="Y18"/>
  <c r="Z17"/>
  <c r="Y17"/>
  <c r="Z16"/>
  <c r="Y16"/>
  <c r="Z15"/>
  <c r="Y15"/>
  <c r="Z14"/>
  <c r="Y14"/>
  <c r="Z13"/>
  <c r="Y13"/>
  <c r="Z12"/>
  <c r="Y12"/>
  <c r="Z11"/>
  <c r="Y11"/>
  <c r="Z10"/>
  <c r="Y10"/>
  <c r="Z9"/>
  <c r="Y9"/>
  <c r="Z8"/>
  <c r="Y8"/>
  <c r="A9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A68" s="1"/>
  <c r="A69" s="1"/>
  <c r="A70" s="1"/>
  <c r="A71" s="1"/>
  <c r="A72" s="1"/>
  <c r="A73" s="1"/>
  <c r="A74" s="1"/>
  <c r="A75" s="1"/>
  <c r="A76" s="1"/>
  <c r="A77" s="1"/>
  <c r="A78" s="1"/>
  <c r="A79" s="1"/>
  <c r="A80" s="1"/>
  <c r="A81" s="1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Q9"/>
  <c r="Q10"/>
  <c r="Q11"/>
  <c r="Q12"/>
  <c r="Q13"/>
  <c r="Q14"/>
  <c r="Q15"/>
  <c r="Q16"/>
  <c r="Q17"/>
  <c r="Q18"/>
  <c r="Q19"/>
  <c r="Q20"/>
  <c r="Q21"/>
  <c r="Q22"/>
  <c r="Q23"/>
  <c r="Q24"/>
  <c r="Q25"/>
  <c r="Q26"/>
  <c r="Q27"/>
  <c r="Q28"/>
  <c r="Q29"/>
  <c r="Q30"/>
  <c r="Q31"/>
  <c r="Q32"/>
  <c r="Q33"/>
  <c r="Q34"/>
  <c r="Q35"/>
  <c r="Q36"/>
  <c r="Q37"/>
  <c r="Q38"/>
  <c r="Q39"/>
  <c r="Q40"/>
  <c r="Q41"/>
  <c r="Q42"/>
  <c r="Q43"/>
  <c r="Q44"/>
  <c r="Q45"/>
  <c r="Q46"/>
  <c r="Q47"/>
  <c r="Q48"/>
  <c r="Q49"/>
  <c r="Q50"/>
  <c r="Q51"/>
  <c r="Q52"/>
  <c r="Q53"/>
  <c r="Q54"/>
  <c r="Q55"/>
  <c r="Q56"/>
  <c r="Q57"/>
  <c r="Q58"/>
  <c r="Q59"/>
  <c r="Q60"/>
  <c r="Q61"/>
  <c r="Q62"/>
  <c r="Q63"/>
  <c r="Q64"/>
  <c r="Q65"/>
  <c r="Q66"/>
  <c r="Q67"/>
  <c r="Q68"/>
  <c r="Q69"/>
  <c r="Q70"/>
  <c r="Q71"/>
  <c r="Q72"/>
  <c r="Q73"/>
  <c r="Q74"/>
  <c r="Q75"/>
  <c r="Q76"/>
  <c r="Q77"/>
  <c r="Q78"/>
  <c r="Q79"/>
  <c r="Q80"/>
  <c r="Q81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33"/>
  <c r="R34"/>
  <c r="R35"/>
  <c r="R36"/>
  <c r="R37"/>
  <c r="R38"/>
  <c r="R39"/>
  <c r="R40"/>
  <c r="R41"/>
  <c r="R42"/>
  <c r="R43"/>
  <c r="R44"/>
  <c r="R45"/>
  <c r="R46"/>
  <c r="R47"/>
  <c r="R48"/>
  <c r="R49"/>
  <c r="R50"/>
  <c r="R51"/>
  <c r="R52"/>
  <c r="R53"/>
  <c r="R54"/>
  <c r="R55"/>
  <c r="R56"/>
  <c r="R57"/>
  <c r="R58"/>
  <c r="R59"/>
  <c r="R60"/>
  <c r="R61"/>
  <c r="R62"/>
  <c r="R63"/>
  <c r="R64"/>
  <c r="R65"/>
  <c r="R66"/>
  <c r="R67"/>
  <c r="R68"/>
  <c r="R69"/>
  <c r="R70"/>
  <c r="R71"/>
  <c r="R72"/>
  <c r="R73"/>
  <c r="R74"/>
  <c r="R75"/>
  <c r="R76"/>
  <c r="R77"/>
  <c r="R78"/>
  <c r="R79"/>
  <c r="R80"/>
  <c r="R81"/>
  <c r="M8"/>
  <c r="Q8"/>
  <c r="U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8"/>
  <c r="R8"/>
  <c r="N9"/>
  <c r="N10"/>
  <c r="N11"/>
  <c r="N12"/>
  <c r="N13"/>
  <c r="N14"/>
  <c r="N15"/>
  <c r="N16"/>
  <c r="N17"/>
  <c r="N18"/>
  <c r="N19"/>
  <c r="N20"/>
  <c r="N21"/>
  <c r="N22"/>
  <c r="N23"/>
  <c r="N24"/>
  <c r="N25"/>
  <c r="N26"/>
  <c r="N27"/>
  <c r="N28"/>
  <c r="N29"/>
  <c r="N30"/>
  <c r="N31"/>
  <c r="N32"/>
  <c r="N33"/>
  <c r="N34"/>
  <c r="N35"/>
  <c r="N36"/>
  <c r="N37"/>
  <c r="N38"/>
  <c r="N39"/>
  <c r="N40"/>
  <c r="N41"/>
  <c r="N42"/>
  <c r="N43"/>
  <c r="N44"/>
  <c r="N45"/>
  <c r="N46"/>
  <c r="N47"/>
  <c r="N48"/>
  <c r="N49"/>
  <c r="N50"/>
  <c r="N51"/>
  <c r="N52"/>
  <c r="N53"/>
  <c r="N54"/>
  <c r="N55"/>
  <c r="N56"/>
  <c r="N57"/>
  <c r="N58"/>
  <c r="N59"/>
  <c r="N60"/>
  <c r="N61"/>
  <c r="N62"/>
  <c r="N63"/>
  <c r="N64"/>
  <c r="N65"/>
  <c r="N66"/>
  <c r="N67"/>
  <c r="N68"/>
  <c r="N69"/>
  <c r="N70"/>
  <c r="N71"/>
  <c r="N72"/>
  <c r="N73"/>
  <c r="N74"/>
  <c r="N75"/>
  <c r="N76"/>
  <c r="N77"/>
  <c r="N78"/>
  <c r="N79"/>
  <c r="N80"/>
  <c r="N81"/>
  <c r="N8"/>
  <c r="I9"/>
  <c r="I10"/>
  <c r="I11"/>
  <c r="I8"/>
  <c r="J9"/>
  <c r="J10"/>
  <c r="J11"/>
  <c r="J8"/>
  <c r="E9"/>
  <c r="E10"/>
  <c r="E11"/>
  <c r="E12"/>
  <c r="E13"/>
  <c r="E14"/>
  <c r="E15"/>
  <c r="E16"/>
  <c r="E17"/>
  <c r="E18"/>
  <c r="E19"/>
  <c r="E8"/>
  <c r="F9"/>
  <c r="F10"/>
  <c r="F11"/>
  <c r="F12"/>
  <c r="F13"/>
  <c r="F14"/>
  <c r="F15"/>
  <c r="F16"/>
  <c r="F17"/>
  <c r="F18"/>
  <c r="F19"/>
  <c r="F8"/>
  <c r="M9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M40"/>
  <c r="M41"/>
  <c r="M42"/>
  <c r="M43"/>
  <c r="M44"/>
  <c r="M45"/>
  <c r="M46"/>
  <c r="M47"/>
  <c r="M48"/>
  <c r="M49"/>
  <c r="M50"/>
  <c r="M51"/>
  <c r="M52"/>
  <c r="M53"/>
  <c r="M54"/>
  <c r="M55"/>
  <c r="M56"/>
  <c r="M57"/>
  <c r="M58"/>
  <c r="M59"/>
  <c r="M60"/>
  <c r="M61"/>
  <c r="M62"/>
  <c r="M63"/>
  <c r="M64"/>
  <c r="M65"/>
  <c r="M66"/>
  <c r="M67"/>
  <c r="M68"/>
  <c r="M69"/>
  <c r="M70"/>
  <c r="M71"/>
  <c r="M72"/>
  <c r="M73"/>
  <c r="M74"/>
  <c r="M75"/>
  <c r="M76"/>
  <c r="M77"/>
  <c r="M78"/>
  <c r="M79"/>
  <c r="M80"/>
  <c r="M81"/>
  <c r="S5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O5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P35" s="1"/>
  <c r="P36" s="1"/>
  <c r="P37" s="1"/>
  <c r="P38" s="1"/>
  <c r="P39" s="1"/>
  <c r="P40" s="1"/>
  <c r="P41" s="1"/>
  <c r="P42" s="1"/>
  <c r="P43" s="1"/>
  <c r="P44" s="1"/>
  <c r="P45" s="1"/>
  <c r="P46" s="1"/>
  <c r="P47" s="1"/>
  <c r="P48" s="1"/>
  <c r="P49" s="1"/>
  <c r="P50" s="1"/>
  <c r="P51" s="1"/>
  <c r="P52" s="1"/>
  <c r="P53" s="1"/>
  <c r="P54" s="1"/>
  <c r="P55" s="1"/>
  <c r="P56" s="1"/>
  <c r="P57" s="1"/>
  <c r="P58" s="1"/>
  <c r="P59" s="1"/>
  <c r="P60" s="1"/>
  <c r="P61" s="1"/>
  <c r="P62" s="1"/>
  <c r="P63" s="1"/>
  <c r="P64" s="1"/>
  <c r="P65" s="1"/>
  <c r="P66" s="1"/>
  <c r="P67" s="1"/>
  <c r="P68" s="1"/>
  <c r="P69" s="1"/>
  <c r="P70" s="1"/>
  <c r="P71" s="1"/>
  <c r="P72" s="1"/>
  <c r="P73" s="1"/>
  <c r="P74" s="1"/>
  <c r="P75" s="1"/>
  <c r="P76" s="1"/>
  <c r="P77" s="1"/>
  <c r="P78" s="1"/>
  <c r="P79" s="1"/>
  <c r="P80" s="1"/>
  <c r="P81" s="1"/>
  <c r="K5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L34" s="1"/>
  <c r="L35" s="1"/>
  <c r="L36" s="1"/>
  <c r="L37" s="1"/>
  <c r="L38" s="1"/>
  <c r="L39" s="1"/>
  <c r="L40" s="1"/>
  <c r="L41" s="1"/>
  <c r="L42" s="1"/>
  <c r="L43" s="1"/>
  <c r="L44" s="1"/>
  <c r="L45" s="1"/>
  <c r="L46" s="1"/>
  <c r="L47" s="1"/>
  <c r="L48" s="1"/>
  <c r="L49" s="1"/>
  <c r="L50" s="1"/>
  <c r="L51" s="1"/>
  <c r="L52" s="1"/>
  <c r="L53" s="1"/>
  <c r="L54" s="1"/>
  <c r="L55" s="1"/>
  <c r="L56" s="1"/>
  <c r="L57" s="1"/>
  <c r="L58" s="1"/>
  <c r="L59" s="1"/>
  <c r="L60" s="1"/>
  <c r="L61" s="1"/>
  <c r="L62" s="1"/>
  <c r="L63" s="1"/>
  <c r="L64" s="1"/>
  <c r="L65" s="1"/>
  <c r="L66" s="1"/>
  <c r="L67" s="1"/>
  <c r="L68" s="1"/>
  <c r="L69" s="1"/>
  <c r="L70" s="1"/>
  <c r="L71" s="1"/>
  <c r="L72" s="1"/>
  <c r="L73" s="1"/>
  <c r="L74" s="1"/>
  <c r="L75" s="1"/>
  <c r="L76" s="1"/>
  <c r="L77" s="1"/>
  <c r="L78" s="1"/>
  <c r="L79" s="1"/>
  <c r="L80" s="1"/>
  <c r="L81" s="1"/>
  <c r="G5"/>
  <c r="H8" s="1"/>
  <c r="H9" s="1"/>
  <c r="H10" s="1"/>
  <c r="H11" s="1"/>
  <c r="C5"/>
  <c r="D8" s="1"/>
  <c r="D9" s="1"/>
  <c r="D10" s="1"/>
  <c r="D11" s="1"/>
  <c r="D12" s="1"/>
  <c r="D13" s="1"/>
  <c r="D14" s="1"/>
  <c r="D15" s="1"/>
  <c r="D16" s="1"/>
  <c r="D17" s="1"/>
  <c r="D18" s="1"/>
  <c r="D19" s="1"/>
  <c r="I44" i="23" l="1"/>
  <c r="M44"/>
  <c r="P41"/>
  <c r="Q41" s="1"/>
  <c r="D44"/>
  <c r="P36"/>
  <c r="Q36" s="1"/>
  <c r="G43"/>
  <c r="G47"/>
  <c r="G49"/>
  <c r="G48"/>
  <c r="K43"/>
  <c r="K47"/>
  <c r="K48"/>
  <c r="K49"/>
  <c r="O43"/>
  <c r="O47"/>
  <c r="O49"/>
  <c r="O48"/>
  <c r="F49"/>
  <c r="F48"/>
  <c r="F43"/>
  <c r="F47"/>
  <c r="J48"/>
  <c r="J47"/>
  <c r="J43"/>
  <c r="J49"/>
  <c r="N49"/>
  <c r="N48"/>
  <c r="N43"/>
  <c r="N47"/>
  <c r="D43"/>
  <c r="D48"/>
  <c r="D47"/>
  <c r="D49"/>
  <c r="I43"/>
  <c r="I48"/>
  <c r="I49"/>
  <c r="I47"/>
  <c r="M43"/>
  <c r="M49"/>
  <c r="M48"/>
  <c r="M47"/>
  <c r="E43"/>
  <c r="E49"/>
  <c r="E47"/>
  <c r="E48"/>
  <c r="H43"/>
  <c r="H49"/>
  <c r="H48"/>
  <c r="H47"/>
  <c r="L43"/>
  <c r="L47"/>
  <c r="L48"/>
  <c r="L49"/>
  <c r="H44"/>
  <c r="L44"/>
  <c r="P37"/>
  <c r="Q37" s="1"/>
  <c r="P42"/>
  <c r="Q42" s="1"/>
  <c r="G44"/>
  <c r="K44"/>
  <c r="O44"/>
  <c r="F44"/>
  <c r="J44"/>
  <c r="N44"/>
  <c r="P40"/>
  <c r="Q40" s="1"/>
  <c r="H7" i="19"/>
  <c r="AA4" i="20"/>
  <c r="AB16"/>
  <c r="AB14" s="1"/>
  <c r="AB6" s="1"/>
  <c r="AB5" s="1"/>
  <c r="K7" i="19"/>
  <c r="N7"/>
  <c r="O7"/>
  <c r="M7"/>
  <c r="J7"/>
  <c r="E7"/>
  <c r="L7"/>
  <c r="D7"/>
  <c r="G7"/>
  <c r="I7"/>
  <c r="F7"/>
  <c r="P6"/>
  <c r="AA12" i="18"/>
  <c r="AB11"/>
  <c r="X8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X36" s="1"/>
  <c r="X37" s="1"/>
  <c r="X38" s="1"/>
  <c r="X39" s="1"/>
  <c r="X40" s="1"/>
  <c r="X41" s="1"/>
  <c r="X42" s="1"/>
  <c r="X43" s="1"/>
  <c r="X44" s="1"/>
  <c r="X45" s="1"/>
  <c r="X46" s="1"/>
  <c r="X47" s="1"/>
  <c r="X48" s="1"/>
  <c r="X49" s="1"/>
  <c r="X50" s="1"/>
  <c r="X51" s="1"/>
  <c r="X52" s="1"/>
  <c r="X53" s="1"/>
  <c r="X54" s="1"/>
  <c r="X55" s="1"/>
  <c r="X56" s="1"/>
  <c r="X57" s="1"/>
  <c r="X58" s="1"/>
  <c r="X59" s="1"/>
  <c r="X60" s="1"/>
  <c r="X61" s="1"/>
  <c r="X62" s="1"/>
  <c r="X63" s="1"/>
  <c r="X64" s="1"/>
  <c r="X65" s="1"/>
  <c r="X66" s="1"/>
  <c r="X67" s="1"/>
  <c r="X68" s="1"/>
  <c r="X69" s="1"/>
  <c r="X70" s="1"/>
  <c r="X71" s="1"/>
  <c r="X72" s="1"/>
  <c r="X73" s="1"/>
  <c r="X74" s="1"/>
  <c r="X75" s="1"/>
  <c r="X76" s="1"/>
  <c r="X77" s="1"/>
  <c r="X78" s="1"/>
  <c r="X79" s="1"/>
  <c r="G21" i="10"/>
  <c r="G19"/>
  <c r="G18"/>
  <c r="G17"/>
  <c r="G14"/>
  <c r="G13"/>
  <c r="G11"/>
  <c r="G10"/>
  <c r="G8"/>
  <c r="G7"/>
  <c r="G6"/>
  <c r="G9"/>
  <c r="G12"/>
  <c r="G15"/>
  <c r="G20"/>
  <c r="G71"/>
  <c r="G74"/>
  <c r="G78"/>
  <c r="G16"/>
  <c r="G72"/>
  <c r="G73"/>
  <c r="G75"/>
  <c r="G76"/>
  <c r="G77"/>
  <c r="G79"/>
  <c r="G23"/>
  <c r="G24"/>
  <c r="G25"/>
  <c r="G26"/>
  <c r="G27"/>
  <c r="G28"/>
  <c r="G29"/>
  <c r="G30"/>
  <c r="G31"/>
  <c r="G32"/>
  <c r="G33"/>
  <c r="G34"/>
  <c r="G35"/>
  <c r="G36"/>
  <c r="G37"/>
  <c r="G38"/>
  <c r="G39"/>
  <c r="G43"/>
  <c r="G44"/>
  <c r="G45"/>
  <c r="G42"/>
  <c r="G41"/>
  <c r="G40"/>
  <c r="G47"/>
  <c r="G46"/>
  <c r="G48"/>
  <c r="G49"/>
  <c r="G50"/>
  <c r="G51"/>
  <c r="G52"/>
  <c r="G53"/>
  <c r="G54"/>
  <c r="G55"/>
  <c r="G56"/>
  <c r="G57"/>
  <c r="G58"/>
  <c r="G59"/>
  <c r="G60"/>
  <c r="G61"/>
  <c r="G62"/>
  <c r="G63"/>
  <c r="G64"/>
  <c r="G65"/>
  <c r="G66"/>
  <c r="G67"/>
  <c r="G68"/>
  <c r="G69"/>
  <c r="E78"/>
  <c r="E74"/>
  <c r="E33" i="8"/>
  <c r="K28"/>
  <c r="G19"/>
  <c r="C19"/>
  <c r="C33"/>
  <c r="D50" i="23" l="1"/>
  <c r="D59" s="1"/>
  <c r="P13" i="19"/>
  <c r="P20"/>
  <c r="P32"/>
  <c r="P42"/>
  <c r="P74"/>
  <c r="P89"/>
  <c r="P50"/>
  <c r="P132"/>
  <c r="P97"/>
  <c r="P107"/>
  <c r="P59"/>
  <c r="P115"/>
  <c r="P127"/>
  <c r="P66"/>
  <c r="P43" i="23"/>
  <c r="Q43" s="1"/>
  <c r="L50"/>
  <c r="H50"/>
  <c r="M50"/>
  <c r="I50"/>
  <c r="N50"/>
  <c r="J50"/>
  <c r="F50"/>
  <c r="O50"/>
  <c r="K50"/>
  <c r="G50"/>
  <c r="D14" i="8"/>
  <c r="D15"/>
  <c r="D16"/>
  <c r="D17"/>
  <c r="D18"/>
  <c r="H14"/>
  <c r="H15"/>
  <c r="H18"/>
  <c r="H16"/>
  <c r="H17"/>
  <c r="L23"/>
  <c r="L24"/>
  <c r="L25"/>
  <c r="L27"/>
  <c r="L26"/>
  <c r="G24" i="7"/>
  <c r="D24" i="8"/>
  <c r="D23"/>
  <c r="D25"/>
  <c r="D26"/>
  <c r="D27"/>
  <c r="D28"/>
  <c r="D29"/>
  <c r="D30"/>
  <c r="D31"/>
  <c r="D32"/>
  <c r="G4" i="7"/>
  <c r="G8"/>
  <c r="G16"/>
  <c r="AB4" i="20"/>
  <c r="AC16"/>
  <c r="AC14" s="1"/>
  <c r="AC6" s="1"/>
  <c r="AC5" s="1"/>
  <c r="Q6" i="19"/>
  <c r="P7"/>
  <c r="Q7" s="1"/>
  <c r="AB12" i="18"/>
  <c r="AA13"/>
  <c r="H2" i="10"/>
  <c r="D58" i="23" l="1"/>
  <c r="Q13" i="19"/>
  <c r="Q20"/>
  <c r="Q32"/>
  <c r="Q42"/>
  <c r="Q74"/>
  <c r="Q89"/>
  <c r="Q97"/>
  <c r="Q107"/>
  <c r="Q59"/>
  <c r="Q115"/>
  <c r="Q127"/>
  <c r="Q50"/>
  <c r="Q66"/>
  <c r="Q132"/>
  <c r="AC4" i="20"/>
  <c r="AD16"/>
  <c r="AD14" s="1"/>
  <c r="AD6" s="1"/>
  <c r="AD5" s="1"/>
  <c r="AB13" i="18"/>
  <c r="AA14"/>
  <c r="H49" i="10"/>
  <c r="H67"/>
  <c r="H18"/>
  <c r="H44"/>
  <c r="H60"/>
  <c r="H14"/>
  <c r="H7"/>
  <c r="H20"/>
  <c r="H74"/>
  <c r="H35"/>
  <c r="H25"/>
  <c r="H11"/>
  <c r="H33"/>
  <c r="H9"/>
  <c r="H12"/>
  <c r="H15"/>
  <c r="H27"/>
  <c r="H8"/>
  <c r="H10"/>
  <c r="H16"/>
  <c r="H13"/>
  <c r="H75"/>
  <c r="H64"/>
  <c r="H45"/>
  <c r="H23"/>
  <c r="H21"/>
  <c r="H73"/>
  <c r="H32"/>
  <c r="H29"/>
  <c r="H66"/>
  <c r="H26"/>
  <c r="H24"/>
  <c r="H38"/>
  <c r="H47"/>
  <c r="H42"/>
  <c r="H62"/>
  <c r="H41"/>
  <c r="H30"/>
  <c r="H48"/>
  <c r="H56"/>
  <c r="H53"/>
  <c r="H78"/>
  <c r="H63"/>
  <c r="H28"/>
  <c r="H65"/>
  <c r="H77"/>
  <c r="H51"/>
  <c r="H31"/>
  <c r="H39"/>
  <c r="H46"/>
  <c r="H50"/>
  <c r="H69"/>
  <c r="H72"/>
  <c r="H40"/>
  <c r="H52"/>
  <c r="H79"/>
  <c r="H57"/>
  <c r="H34"/>
  <c r="H43"/>
  <c r="H55"/>
  <c r="H61"/>
  <c r="H59"/>
  <c r="H54"/>
  <c r="H71"/>
  <c r="H58"/>
  <c r="H19"/>
  <c r="H76"/>
  <c r="H17"/>
  <c r="H68"/>
  <c r="H36"/>
  <c r="H6"/>
  <c r="H37"/>
  <c r="I2"/>
  <c r="H5" l="1"/>
  <c r="AD4" i="20"/>
  <c r="AE16"/>
  <c r="AE14" s="1"/>
  <c r="AE6" s="1"/>
  <c r="AE5" s="1"/>
  <c r="AB14" i="18"/>
  <c r="AA15"/>
  <c r="I6" i="10"/>
  <c r="I44"/>
  <c r="I54"/>
  <c r="I23"/>
  <c r="I78"/>
  <c r="I46"/>
  <c r="I62"/>
  <c r="I16"/>
  <c r="I68"/>
  <c r="I15"/>
  <c r="I36"/>
  <c r="I27"/>
  <c r="I55"/>
  <c r="I76"/>
  <c r="I21"/>
  <c r="I50"/>
  <c r="I41"/>
  <c r="I60"/>
  <c r="I42"/>
  <c r="I63"/>
  <c r="I49"/>
  <c r="I35"/>
  <c r="I58"/>
  <c r="I72"/>
  <c r="I51"/>
  <c r="I69"/>
  <c r="I33"/>
  <c r="I61"/>
  <c r="I48"/>
  <c r="I67"/>
  <c r="I19"/>
  <c r="I7"/>
  <c r="I25"/>
  <c r="I39"/>
  <c r="I28"/>
  <c r="I65"/>
  <c r="I75"/>
  <c r="I17"/>
  <c r="I29"/>
  <c r="I52"/>
  <c r="I24"/>
  <c r="I37"/>
  <c r="I32"/>
  <c r="I14"/>
  <c r="I40"/>
  <c r="I31"/>
  <c r="I59"/>
  <c r="I74"/>
  <c r="I57"/>
  <c r="I56"/>
  <c r="I11"/>
  <c r="I53"/>
  <c r="I9"/>
  <c r="I13"/>
  <c r="I71"/>
  <c r="I12"/>
  <c r="I8"/>
  <c r="I38"/>
  <c r="I26"/>
  <c r="I73"/>
  <c r="I47"/>
  <c r="I20"/>
  <c r="I43"/>
  <c r="I45"/>
  <c r="I30"/>
  <c r="I10"/>
  <c r="I79"/>
  <c r="I18"/>
  <c r="I77"/>
  <c r="I64"/>
  <c r="I66"/>
  <c r="I34"/>
  <c r="H70"/>
  <c r="H22"/>
  <c r="J2"/>
  <c r="AE4" i="20" l="1"/>
  <c r="AF16"/>
  <c r="AF14" s="1"/>
  <c r="AF6" s="1"/>
  <c r="AF5" s="1"/>
  <c r="AB15" i="18"/>
  <c r="AA16"/>
  <c r="J6" i="10"/>
  <c r="J44"/>
  <c r="J31"/>
  <c r="J34"/>
  <c r="J19"/>
  <c r="J45"/>
  <c r="J47"/>
  <c r="J16"/>
  <c r="J24"/>
  <c r="J79"/>
  <c r="J58"/>
  <c r="J17"/>
  <c r="J66"/>
  <c r="J49"/>
  <c r="J26"/>
  <c r="J59"/>
  <c r="J57"/>
  <c r="J15"/>
  <c r="J23"/>
  <c r="J14"/>
  <c r="J76"/>
  <c r="J13"/>
  <c r="J77"/>
  <c r="J30"/>
  <c r="J62"/>
  <c r="J11"/>
  <c r="J50"/>
  <c r="J10"/>
  <c r="J74"/>
  <c r="J35"/>
  <c r="J54"/>
  <c r="J7"/>
  <c r="J8"/>
  <c r="J33"/>
  <c r="J73"/>
  <c r="J41"/>
  <c r="J12"/>
  <c r="J78"/>
  <c r="J38"/>
  <c r="J39"/>
  <c r="J61"/>
  <c r="J48"/>
  <c r="J20"/>
  <c r="J27"/>
  <c r="J43"/>
  <c r="J69"/>
  <c r="J9"/>
  <c r="J72"/>
  <c r="J55"/>
  <c r="J75"/>
  <c r="J40"/>
  <c r="J64"/>
  <c r="J53"/>
  <c r="J52"/>
  <c r="J68"/>
  <c r="J65"/>
  <c r="J67"/>
  <c r="J51"/>
  <c r="J25"/>
  <c r="J21"/>
  <c r="J18"/>
  <c r="J71"/>
  <c r="J32"/>
  <c r="J60"/>
  <c r="J29"/>
  <c r="J36"/>
  <c r="J28"/>
  <c r="J37"/>
  <c r="J56"/>
  <c r="J42"/>
  <c r="J46"/>
  <c r="J63"/>
  <c r="I70"/>
  <c r="I22"/>
  <c r="K2"/>
  <c r="AF4" i="20" l="1"/>
  <c r="AG16"/>
  <c r="AG14" s="1"/>
  <c r="AG6" s="1"/>
  <c r="AG5" s="1"/>
  <c r="AB16" i="18"/>
  <c r="AA17"/>
  <c r="K39" i="10"/>
  <c r="K50"/>
  <c r="K48"/>
  <c r="K72"/>
  <c r="K25"/>
  <c r="K29"/>
  <c r="K16"/>
  <c r="K47"/>
  <c r="K55"/>
  <c r="K34"/>
  <c r="K40"/>
  <c r="K53"/>
  <c r="K35"/>
  <c r="K63"/>
  <c r="K59"/>
  <c r="K18"/>
  <c r="K44"/>
  <c r="K58"/>
  <c r="K49"/>
  <c r="K52"/>
  <c r="K32"/>
  <c r="K45"/>
  <c r="K24"/>
  <c r="K65"/>
  <c r="K19"/>
  <c r="K78"/>
  <c r="K10"/>
  <c r="K23"/>
  <c r="K37"/>
  <c r="K12"/>
  <c r="K11"/>
  <c r="K27"/>
  <c r="K15"/>
  <c r="K26"/>
  <c r="K42"/>
  <c r="K57"/>
  <c r="K20"/>
  <c r="K36"/>
  <c r="K46"/>
  <c r="K71"/>
  <c r="K13"/>
  <c r="K68"/>
  <c r="K30"/>
  <c r="K38"/>
  <c r="K51"/>
  <c r="K31"/>
  <c r="K56"/>
  <c r="K73"/>
  <c r="K61"/>
  <c r="K54"/>
  <c r="K62"/>
  <c r="K14"/>
  <c r="K7"/>
  <c r="K76"/>
  <c r="K74"/>
  <c r="K28"/>
  <c r="K75"/>
  <c r="K17"/>
  <c r="K43"/>
  <c r="K33"/>
  <c r="K79"/>
  <c r="K21"/>
  <c r="K67"/>
  <c r="K8"/>
  <c r="K64"/>
  <c r="K69"/>
  <c r="K66"/>
  <c r="K41"/>
  <c r="K6"/>
  <c r="K77"/>
  <c r="K60"/>
  <c r="K9"/>
  <c r="J70"/>
  <c r="J22"/>
  <c r="L2"/>
  <c r="AG4" i="20" l="1"/>
  <c r="AH16"/>
  <c r="AH14" s="1"/>
  <c r="AH6" s="1"/>
  <c r="AH5" s="1"/>
  <c r="AA18" i="18"/>
  <c r="AB17"/>
  <c r="L45" i="10"/>
  <c r="L8"/>
  <c r="L47"/>
  <c r="L67"/>
  <c r="L46"/>
  <c r="L43"/>
  <c r="L71"/>
  <c r="L48"/>
  <c r="L24"/>
  <c r="L18"/>
  <c r="L72"/>
  <c r="L49"/>
  <c r="L64"/>
  <c r="L19"/>
  <c r="L14"/>
  <c r="L68"/>
  <c r="L17"/>
  <c r="L32"/>
  <c r="L40"/>
  <c r="L76"/>
  <c r="L11"/>
  <c r="L13"/>
  <c r="L74"/>
  <c r="L56"/>
  <c r="L38"/>
  <c r="L25"/>
  <c r="L26"/>
  <c r="L75"/>
  <c r="L73"/>
  <c r="L21"/>
  <c r="L77"/>
  <c r="L62"/>
  <c r="L79"/>
  <c r="L10"/>
  <c r="L66"/>
  <c r="L31"/>
  <c r="L6"/>
  <c r="L42"/>
  <c r="L7"/>
  <c r="L63"/>
  <c r="L55"/>
  <c r="L50"/>
  <c r="L28"/>
  <c r="L69"/>
  <c r="L9"/>
  <c r="L33"/>
  <c r="L29"/>
  <c r="L41"/>
  <c r="L52"/>
  <c r="L58"/>
  <c r="L15"/>
  <c r="L12"/>
  <c r="L39"/>
  <c r="L35"/>
  <c r="L61"/>
  <c r="L44"/>
  <c r="L23"/>
  <c r="L78"/>
  <c r="L59"/>
  <c r="L53"/>
  <c r="L37"/>
  <c r="L65"/>
  <c r="L36"/>
  <c r="L27"/>
  <c r="L16"/>
  <c r="L20"/>
  <c r="L34"/>
  <c r="L57"/>
  <c r="L30"/>
  <c r="L60"/>
  <c r="L51"/>
  <c r="L54"/>
  <c r="K70"/>
  <c r="K22"/>
  <c r="M2"/>
  <c r="AH4" i="20" l="1"/>
  <c r="AI16"/>
  <c r="AI14" s="1"/>
  <c r="AI6" s="1"/>
  <c r="AI5" s="1"/>
  <c r="AA19" i="18"/>
  <c r="AB18"/>
  <c r="M66" i="10"/>
  <c r="M77"/>
  <c r="M21"/>
  <c r="M67"/>
  <c r="M23"/>
  <c r="M27"/>
  <c r="M42"/>
  <c r="M35"/>
  <c r="M37"/>
  <c r="M6"/>
  <c r="M19"/>
  <c r="M46"/>
  <c r="M51"/>
  <c r="M78"/>
  <c r="M10"/>
  <c r="M53"/>
  <c r="M68"/>
  <c r="M74"/>
  <c r="M17"/>
  <c r="M9"/>
  <c r="M18"/>
  <c r="M59"/>
  <c r="M12"/>
  <c r="M79"/>
  <c r="M14"/>
  <c r="M15"/>
  <c r="M41"/>
  <c r="M26"/>
  <c r="M29"/>
  <c r="M54"/>
  <c r="M39"/>
  <c r="M11"/>
  <c r="M25"/>
  <c r="M33"/>
  <c r="M45"/>
  <c r="M55"/>
  <c r="M61"/>
  <c r="M63"/>
  <c r="M8"/>
  <c r="M49"/>
  <c r="M48"/>
  <c r="M31"/>
  <c r="M43"/>
  <c r="M28"/>
  <c r="M32"/>
  <c r="M40"/>
  <c r="M58"/>
  <c r="M20"/>
  <c r="M50"/>
  <c r="M13"/>
  <c r="M52"/>
  <c r="M56"/>
  <c r="M34"/>
  <c r="M76"/>
  <c r="M72"/>
  <c r="M73"/>
  <c r="M44"/>
  <c r="M36"/>
  <c r="M71"/>
  <c r="M47"/>
  <c r="M30"/>
  <c r="M24"/>
  <c r="M65"/>
  <c r="M60"/>
  <c r="M38"/>
  <c r="M16"/>
  <c r="M64"/>
  <c r="M57"/>
  <c r="M75"/>
  <c r="M69"/>
  <c r="M62"/>
  <c r="M7"/>
  <c r="L22"/>
  <c r="L70"/>
  <c r="N2"/>
  <c r="AI4" i="20" l="1"/>
  <c r="AJ16"/>
  <c r="AJ14" s="1"/>
  <c r="AJ6" s="1"/>
  <c r="AJ5" s="1"/>
  <c r="AJ4" s="1"/>
  <c r="AA20" i="18"/>
  <c r="AB19"/>
  <c r="N10" i="10"/>
  <c r="N41"/>
  <c r="N6"/>
  <c r="N17"/>
  <c r="N15"/>
  <c r="N38"/>
  <c r="N13"/>
  <c r="N20"/>
  <c r="N53"/>
  <c r="N51"/>
  <c r="N14"/>
  <c r="N23"/>
  <c r="N62"/>
  <c r="N9"/>
  <c r="N32"/>
  <c r="N33"/>
  <c r="N42"/>
  <c r="N26"/>
  <c r="N11"/>
  <c r="N77"/>
  <c r="N18"/>
  <c r="N47"/>
  <c r="N73"/>
  <c r="N50"/>
  <c r="N8"/>
  <c r="N46"/>
  <c r="N76"/>
  <c r="N45"/>
  <c r="N12"/>
  <c r="N74"/>
  <c r="N30"/>
  <c r="N69"/>
  <c r="N79"/>
  <c r="N48"/>
  <c r="N24"/>
  <c r="N39"/>
  <c r="N54"/>
  <c r="N34"/>
  <c r="N29"/>
  <c r="N27"/>
  <c r="N21"/>
  <c r="N63"/>
  <c r="N7"/>
  <c r="N71"/>
  <c r="N31"/>
  <c r="N16"/>
  <c r="N66"/>
  <c r="N64"/>
  <c r="N72"/>
  <c r="N75"/>
  <c r="N36"/>
  <c r="N55"/>
  <c r="N49"/>
  <c r="N78"/>
  <c r="N37"/>
  <c r="N43"/>
  <c r="N28"/>
  <c r="N40"/>
  <c r="N60"/>
  <c r="N59"/>
  <c r="N57"/>
  <c r="N44"/>
  <c r="N52"/>
  <c r="N67"/>
  <c r="N56"/>
  <c r="N19"/>
  <c r="N35"/>
  <c r="N68"/>
  <c r="N61"/>
  <c r="N65"/>
  <c r="N58"/>
  <c r="N25"/>
  <c r="M22"/>
  <c r="O2"/>
  <c r="M70"/>
  <c r="AK16" i="20" l="1"/>
  <c r="AK14" s="1"/>
  <c r="AK6" s="1"/>
  <c r="AK5" s="1"/>
  <c r="AK4" s="1"/>
  <c r="AA21" i="18"/>
  <c r="AB20"/>
  <c r="O75" i="10"/>
  <c r="O68"/>
  <c r="O13"/>
  <c r="O50"/>
  <c r="O71"/>
  <c r="O25"/>
  <c r="O19"/>
  <c r="O21"/>
  <c r="O27"/>
  <c r="O39"/>
  <c r="O34"/>
  <c r="O49"/>
  <c r="O69"/>
  <c r="O35"/>
  <c r="O78"/>
  <c r="O17"/>
  <c r="O33"/>
  <c r="O42"/>
  <c r="O58"/>
  <c r="O18"/>
  <c r="O52"/>
  <c r="O6"/>
  <c r="O64"/>
  <c r="O63"/>
  <c r="O56"/>
  <c r="O60"/>
  <c r="O59"/>
  <c r="O45"/>
  <c r="O31"/>
  <c r="O12"/>
  <c r="O7"/>
  <c r="O9"/>
  <c r="O53"/>
  <c r="O76"/>
  <c r="O48"/>
  <c r="O8"/>
  <c r="O16"/>
  <c r="O44"/>
  <c r="O15"/>
  <c r="O47"/>
  <c r="O55"/>
  <c r="O73"/>
  <c r="O11"/>
  <c r="O40"/>
  <c r="O77"/>
  <c r="O20"/>
  <c r="O29"/>
  <c r="O79"/>
  <c r="O43"/>
  <c r="O37"/>
  <c r="O65"/>
  <c r="O23"/>
  <c r="O14"/>
  <c r="O66"/>
  <c r="O28"/>
  <c r="O61"/>
  <c r="O30"/>
  <c r="O46"/>
  <c r="O62"/>
  <c r="O24"/>
  <c r="O38"/>
  <c r="O74"/>
  <c r="O54"/>
  <c r="O32"/>
  <c r="O57"/>
  <c r="O10"/>
  <c r="O41"/>
  <c r="O51"/>
  <c r="O72"/>
  <c r="O67"/>
  <c r="O36"/>
  <c r="O26"/>
  <c r="N70"/>
  <c r="N22"/>
  <c r="P2"/>
  <c r="AL16" i="20" l="1"/>
  <c r="AL14" s="1"/>
  <c r="AL6" s="1"/>
  <c r="AL5" s="1"/>
  <c r="AL4" s="1"/>
  <c r="AA22" i="18"/>
  <c r="AB21"/>
  <c r="P78" i="10"/>
  <c r="P41"/>
  <c r="P68"/>
  <c r="P8"/>
  <c r="P77"/>
  <c r="P36"/>
  <c r="P73"/>
  <c r="P66"/>
  <c r="P31"/>
  <c r="P16"/>
  <c r="P74"/>
  <c r="P69"/>
  <c r="P60"/>
  <c r="P64"/>
  <c r="P11"/>
  <c r="P18"/>
  <c r="P35"/>
  <c r="P33"/>
  <c r="P24"/>
  <c r="P26"/>
  <c r="P54"/>
  <c r="P29"/>
  <c r="P62"/>
  <c r="P53"/>
  <c r="P48"/>
  <c r="P50"/>
  <c r="P67"/>
  <c r="P40"/>
  <c r="P79"/>
  <c r="P12"/>
  <c r="P72"/>
  <c r="P63"/>
  <c r="P71"/>
  <c r="P47"/>
  <c r="P10"/>
  <c r="P25"/>
  <c r="P37"/>
  <c r="P28"/>
  <c r="P32"/>
  <c r="P20"/>
  <c r="P55"/>
  <c r="P38"/>
  <c r="P42"/>
  <c r="P52"/>
  <c r="P34"/>
  <c r="P49"/>
  <c r="P76"/>
  <c r="P21"/>
  <c r="P51"/>
  <c r="P61"/>
  <c r="P44"/>
  <c r="P58"/>
  <c r="P57"/>
  <c r="P56"/>
  <c r="P39"/>
  <c r="P6"/>
  <c r="P27"/>
  <c r="P19"/>
  <c r="P46"/>
  <c r="P9"/>
  <c r="P59"/>
  <c r="P13"/>
  <c r="P43"/>
  <c r="P17"/>
  <c r="P65"/>
  <c r="P75"/>
  <c r="P45"/>
  <c r="P30"/>
  <c r="P7"/>
  <c r="P14"/>
  <c r="P15"/>
  <c r="P23"/>
  <c r="O70"/>
  <c r="O22"/>
  <c r="Q2"/>
  <c r="AM16" i="20" l="1"/>
  <c r="AM14" s="1"/>
  <c r="AM6" s="1"/>
  <c r="AM5" s="1"/>
  <c r="AM4" s="1"/>
  <c r="AA23" i="18"/>
  <c r="AB22"/>
  <c r="Q36" i="10"/>
  <c r="Q57"/>
  <c r="Q16"/>
  <c r="Q8"/>
  <c r="Q67"/>
  <c r="Q58"/>
  <c r="Q45"/>
  <c r="Q68"/>
  <c r="Q74"/>
  <c r="Q24"/>
  <c r="Q32"/>
  <c r="Q23"/>
  <c r="Q15"/>
  <c r="Q64"/>
  <c r="Q52"/>
  <c r="Q29"/>
  <c r="Q78"/>
  <c r="Q33"/>
  <c r="Q38"/>
  <c r="Q48"/>
  <c r="Q56"/>
  <c r="Q18"/>
  <c r="Q79"/>
  <c r="Q31"/>
  <c r="Q44"/>
  <c r="Q7"/>
  <c r="Q71"/>
  <c r="Q47"/>
  <c r="Q9"/>
  <c r="Q60"/>
  <c r="Q51"/>
  <c r="Q37"/>
  <c r="Q54"/>
  <c r="Q66"/>
  <c r="Q20"/>
  <c r="Q27"/>
  <c r="Q35"/>
  <c r="Q40"/>
  <c r="Q75"/>
  <c r="Q72"/>
  <c r="Q62"/>
  <c r="Q43"/>
  <c r="Q42"/>
  <c r="Q61"/>
  <c r="Q77"/>
  <c r="Q55"/>
  <c r="Q50"/>
  <c r="Q41"/>
  <c r="Q59"/>
  <c r="Q39"/>
  <c r="Q69"/>
  <c r="Q10"/>
  <c r="Q11"/>
  <c r="Q34"/>
  <c r="Q49"/>
  <c r="Q12"/>
  <c r="Q25"/>
  <c r="Q19"/>
  <c r="Q46"/>
  <c r="Q65"/>
  <c r="Q26"/>
  <c r="Q21"/>
  <c r="Q76"/>
  <c r="Q17"/>
  <c r="Q63"/>
  <c r="Q30"/>
  <c r="Q13"/>
  <c r="Q6"/>
  <c r="Q53"/>
  <c r="Q14"/>
  <c r="Q28"/>
  <c r="Q73"/>
  <c r="P70"/>
  <c r="P22"/>
  <c r="R2"/>
  <c r="G12" i="7"/>
  <c r="Q16" i="8"/>
  <c r="G20" i="7" s="1"/>
  <c r="G19"/>
  <c r="Q6" i="8"/>
  <c r="G10" i="7"/>
  <c r="G7"/>
  <c r="E22" i="10"/>
  <c r="E5"/>
  <c r="G28" i="7" l="1"/>
  <c r="G29"/>
  <c r="G6"/>
  <c r="AN16" i="20"/>
  <c r="AN14" s="1"/>
  <c r="AN6" s="1"/>
  <c r="AN5" s="1"/>
  <c r="AN4" s="1"/>
  <c r="AA24" i="18"/>
  <c r="AB23"/>
  <c r="F21" i="7"/>
  <c r="E71" i="10"/>
  <c r="R72"/>
  <c r="R6"/>
  <c r="R46"/>
  <c r="R26"/>
  <c r="R73"/>
  <c r="R41"/>
  <c r="R33"/>
  <c r="R23"/>
  <c r="R8"/>
  <c r="R11"/>
  <c r="R50"/>
  <c r="R32"/>
  <c r="R58"/>
  <c r="R43"/>
  <c r="R55"/>
  <c r="R29"/>
  <c r="R76"/>
  <c r="R25"/>
  <c r="R9"/>
  <c r="R56"/>
  <c r="R49"/>
  <c r="R20"/>
  <c r="R57"/>
  <c r="R79"/>
  <c r="R15"/>
  <c r="R52"/>
  <c r="R66"/>
  <c r="R14"/>
  <c r="R68"/>
  <c r="R7"/>
  <c r="R39"/>
  <c r="R69"/>
  <c r="R30"/>
  <c r="R38"/>
  <c r="R36"/>
  <c r="R12"/>
  <c r="R35"/>
  <c r="R63"/>
  <c r="R77"/>
  <c r="R71"/>
  <c r="R45"/>
  <c r="R53"/>
  <c r="R40"/>
  <c r="R54"/>
  <c r="R21"/>
  <c r="R47"/>
  <c r="R64"/>
  <c r="R28"/>
  <c r="R59"/>
  <c r="R75"/>
  <c r="R18"/>
  <c r="R51"/>
  <c r="R74"/>
  <c r="R62"/>
  <c r="R17"/>
  <c r="R31"/>
  <c r="R24"/>
  <c r="R67"/>
  <c r="R16"/>
  <c r="R19"/>
  <c r="R37"/>
  <c r="R60"/>
  <c r="R48"/>
  <c r="R44"/>
  <c r="R13"/>
  <c r="R34"/>
  <c r="R78"/>
  <c r="R42"/>
  <c r="R27"/>
  <c r="R61"/>
  <c r="R65"/>
  <c r="R10"/>
  <c r="G11" i="7"/>
  <c r="Q70" i="10"/>
  <c r="F18" i="7"/>
  <c r="F19"/>
  <c r="H19" s="1"/>
  <c r="S2" i="10"/>
  <c r="Q22"/>
  <c r="F17" i="7"/>
  <c r="F15"/>
  <c r="F16"/>
  <c r="H16" s="1"/>
  <c r="F14"/>
  <c r="F13"/>
  <c r="F10"/>
  <c r="H10" s="1"/>
  <c r="F9"/>
  <c r="F8"/>
  <c r="H8" s="1"/>
  <c r="F12"/>
  <c r="H12" s="1"/>
  <c r="F20"/>
  <c r="H20" s="1"/>
  <c r="F11"/>
  <c r="F4"/>
  <c r="H4" s="1"/>
  <c r="F7"/>
  <c r="H7" s="1"/>
  <c r="F30"/>
  <c r="F6"/>
  <c r="F29"/>
  <c r="H29" s="1"/>
  <c r="F5"/>
  <c r="F28"/>
  <c r="F27"/>
  <c r="F26"/>
  <c r="F25"/>
  <c r="F24"/>
  <c r="H24" s="1"/>
  <c r="F23"/>
  <c r="F22"/>
  <c r="Q30" i="12"/>
  <c r="P30"/>
  <c r="O30"/>
  <c r="N30"/>
  <c r="M30"/>
  <c r="L30"/>
  <c r="K30"/>
  <c r="J30"/>
  <c r="I30"/>
  <c r="H30"/>
  <c r="G30"/>
  <c r="F30"/>
  <c r="B30"/>
  <c r="H6" i="7" l="1"/>
  <c r="G30"/>
  <c r="H30" s="1"/>
  <c r="H28"/>
  <c r="AO16" i="20"/>
  <c r="AO14" s="1"/>
  <c r="AO6" s="1"/>
  <c r="AO5" s="1"/>
  <c r="AO4" s="1"/>
  <c r="AA25" i="18"/>
  <c r="AB24"/>
  <c r="S29" i="10"/>
  <c r="S43"/>
  <c r="S11"/>
  <c r="S61"/>
  <c r="S75"/>
  <c r="S77"/>
  <c r="S48"/>
  <c r="S24"/>
  <c r="S31"/>
  <c r="S71"/>
  <c r="S67"/>
  <c r="S69"/>
  <c r="S23"/>
  <c r="S6"/>
  <c r="S55"/>
  <c r="S36"/>
  <c r="S34"/>
  <c r="S33"/>
  <c r="S74"/>
  <c r="S28"/>
  <c r="S58"/>
  <c r="S45"/>
  <c r="S64"/>
  <c r="S40"/>
  <c r="S26"/>
  <c r="S21"/>
  <c r="S37"/>
  <c r="S49"/>
  <c r="S25"/>
  <c r="S12"/>
  <c r="S57"/>
  <c r="S50"/>
  <c r="S18"/>
  <c r="S47"/>
  <c r="S42"/>
  <c r="S76"/>
  <c r="S79"/>
  <c r="S63"/>
  <c r="S16"/>
  <c r="S51"/>
  <c r="S62"/>
  <c r="S7"/>
  <c r="S35"/>
  <c r="S65"/>
  <c r="S13"/>
  <c r="S53"/>
  <c r="S8"/>
  <c r="S39"/>
  <c r="S17"/>
  <c r="S46"/>
  <c r="S73"/>
  <c r="S10"/>
  <c r="S14"/>
  <c r="S19"/>
  <c r="S78"/>
  <c r="S27"/>
  <c r="S59"/>
  <c r="S30"/>
  <c r="S32"/>
  <c r="S38"/>
  <c r="S72"/>
  <c r="S68"/>
  <c r="S9"/>
  <c r="S54"/>
  <c r="S41"/>
  <c r="S20"/>
  <c r="S66"/>
  <c r="S60"/>
  <c r="S15"/>
  <c r="S52"/>
  <c r="S56"/>
  <c r="S44"/>
  <c r="H11" i="7"/>
  <c r="R22" i="10"/>
  <c r="R70"/>
  <c r="G26" i="7"/>
  <c r="H26" s="1"/>
  <c r="G18"/>
  <c r="H18" s="1"/>
  <c r="K21" i="8"/>
  <c r="AP16" i="20" l="1"/>
  <c r="AP14" s="1"/>
  <c r="AP6" s="1"/>
  <c r="AP5" s="1"/>
  <c r="AP4" s="1"/>
  <c r="AA26" i="18"/>
  <c r="AB25"/>
  <c r="S22" i="10"/>
  <c r="S70"/>
  <c r="G70"/>
  <c r="O5"/>
  <c r="O4" s="1"/>
  <c r="P5"/>
  <c r="P4" s="1"/>
  <c r="J5"/>
  <c r="J4" s="1"/>
  <c r="S5"/>
  <c r="H4"/>
  <c r="K5"/>
  <c r="K4" s="1"/>
  <c r="G22"/>
  <c r="M5"/>
  <c r="M4" s="1"/>
  <c r="L5"/>
  <c r="L4" s="1"/>
  <c r="I5"/>
  <c r="I4" s="1"/>
  <c r="N5"/>
  <c r="N4" s="1"/>
  <c r="R5"/>
  <c r="R4" s="1"/>
  <c r="Q5"/>
  <c r="Q4" s="1"/>
  <c r="G14" i="7"/>
  <c r="H14" s="1"/>
  <c r="G27"/>
  <c r="H27" s="1"/>
  <c r="G21"/>
  <c r="H21" s="1"/>
  <c r="AQ16" i="20" l="1"/>
  <c r="AQ14" s="1"/>
  <c r="AQ6" s="1"/>
  <c r="AQ5" s="1"/>
  <c r="AQ4" s="1"/>
  <c r="AA27" i="18"/>
  <c r="AB26"/>
  <c r="S4" i="10"/>
  <c r="E70"/>
  <c r="AR16" i="20" l="1"/>
  <c r="AR14" s="1"/>
  <c r="AR6" s="1"/>
  <c r="AR5" s="1"/>
  <c r="AR4" s="1"/>
  <c r="AA28" i="18"/>
  <c r="AB27"/>
  <c r="G5" i="10"/>
  <c r="G4" s="1"/>
  <c r="AS16" i="20" l="1"/>
  <c r="AS14" s="1"/>
  <c r="AS6" s="1"/>
  <c r="AS5" s="1"/>
  <c r="AS4" s="1"/>
  <c r="AA29" i="18"/>
  <c r="AB28"/>
  <c r="G3" i="10"/>
  <c r="H3" s="1"/>
  <c r="I3" s="1"/>
  <c r="J3" s="1"/>
  <c r="K3" s="1"/>
  <c r="L3" s="1"/>
  <c r="M3" s="1"/>
  <c r="N3" s="1"/>
  <c r="O3" s="1"/>
  <c r="P3" s="1"/>
  <c r="Q3" s="1"/>
  <c r="R3" s="1"/>
  <c r="S3" s="1"/>
  <c r="AT16" i="20" l="1"/>
  <c r="AT14" s="1"/>
  <c r="AT6" s="1"/>
  <c r="AT5" s="1"/>
  <c r="AT4" s="1"/>
  <c r="AA30" i="18"/>
  <c r="AB29"/>
  <c r="AU16" i="20" l="1"/>
  <c r="AU14" s="1"/>
  <c r="AU6" s="1"/>
  <c r="AU5" s="1"/>
  <c r="AU4" s="1"/>
  <c r="AV16"/>
  <c r="AV14" s="1"/>
  <c r="AV6" s="1"/>
  <c r="AV5" s="1"/>
  <c r="AA31" i="18"/>
  <c r="AB30"/>
  <c r="AV4" i="20" l="1"/>
  <c r="AA32" i="18"/>
  <c r="AB31"/>
  <c r="AA33" l="1"/>
  <c r="AB32"/>
  <c r="AA34" l="1"/>
  <c r="AB33"/>
  <c r="AA35" l="1"/>
  <c r="AB34"/>
  <c r="AA36" l="1"/>
  <c r="AB35"/>
  <c r="AB36" l="1"/>
  <c r="AA37"/>
  <c r="AB37" l="1"/>
  <c r="AA38"/>
  <c r="AB38" l="1"/>
  <c r="AA39"/>
  <c r="AA40" l="1"/>
  <c r="AB39"/>
  <c r="AA41" l="1"/>
  <c r="AB40"/>
  <c r="AA42" l="1"/>
  <c r="AB41"/>
  <c r="AA43" l="1"/>
  <c r="AB42"/>
  <c r="AA44" l="1"/>
  <c r="AB43"/>
  <c r="AA45" l="1"/>
  <c r="AB44"/>
  <c r="AA46" l="1"/>
  <c r="AB45"/>
  <c r="AA47" l="1"/>
  <c r="AB46"/>
  <c r="AA48" l="1"/>
  <c r="AB47"/>
  <c r="AA49" l="1"/>
  <c r="AB48"/>
  <c r="AA50" l="1"/>
  <c r="AB49"/>
  <c r="AA51" l="1"/>
  <c r="AB50"/>
  <c r="AA52" l="1"/>
  <c r="AB51"/>
  <c r="AA53" l="1"/>
  <c r="AB52"/>
  <c r="AA54" l="1"/>
  <c r="AB53"/>
  <c r="AA55" l="1"/>
  <c r="AB54"/>
  <c r="AA56" l="1"/>
  <c r="AB55"/>
  <c r="AA57" l="1"/>
  <c r="AB56"/>
  <c r="AA58" l="1"/>
  <c r="AB57"/>
  <c r="AA59" l="1"/>
  <c r="AB58"/>
  <c r="AA60" l="1"/>
  <c r="AB59"/>
  <c r="AA61" l="1"/>
  <c r="AB60"/>
  <c r="AB61" l="1"/>
  <c r="AA62"/>
  <c r="AB62" l="1"/>
  <c r="AA63"/>
  <c r="AB63" l="1"/>
  <c r="AA64"/>
  <c r="AB64" s="1"/>
  <c r="G5" i="7"/>
  <c r="H5" s="1"/>
  <c r="G9"/>
  <c r="G13" s="1"/>
  <c r="H13" s="1"/>
  <c r="C10" i="8"/>
  <c r="K2" s="1"/>
  <c r="Q3"/>
  <c r="G17" i="7" s="1"/>
  <c r="H17" s="1"/>
  <c r="H9" l="1"/>
  <c r="Q29" i="8"/>
  <c r="G23" i="7"/>
  <c r="G15"/>
  <c r="H15" s="1"/>
  <c r="D6" i="8"/>
  <c r="D8"/>
  <c r="D9"/>
  <c r="D4"/>
  <c r="G25" i="7"/>
  <c r="H25" s="1"/>
  <c r="Q35" i="8"/>
  <c r="D7"/>
  <c r="Q24"/>
  <c r="D5"/>
  <c r="G22" i="7" l="1"/>
  <c r="H22" s="1"/>
  <c r="H23"/>
  <c r="P39" i="23"/>
  <c r="Q39" s="1"/>
  <c r="P48"/>
  <c r="Q48" s="1"/>
  <c r="P49"/>
  <c r="Q49" s="1"/>
  <c r="E50"/>
  <c r="P47"/>
  <c r="Q47" s="1"/>
  <c r="K58" l="1"/>
  <c r="H58"/>
  <c r="E58"/>
  <c r="M58"/>
  <c r="J58"/>
  <c r="G58"/>
  <c r="O58"/>
  <c r="L58"/>
  <c r="I58"/>
  <c r="F58"/>
  <c r="N58"/>
  <c r="Q50"/>
  <c r="P50"/>
  <c r="F59"/>
  <c r="G59"/>
  <c r="H59"/>
  <c r="I59"/>
  <c r="J59"/>
  <c r="K59"/>
  <c r="L59"/>
  <c r="M59"/>
  <c r="N59"/>
  <c r="O59"/>
  <c r="E59"/>
  <c r="E44"/>
  <c r="P44" l="1"/>
  <c r="Q44"/>
  <c r="Q58"/>
  <c r="Q59"/>
</calcChain>
</file>

<file path=xl/connections.xml><?xml version="1.0" encoding="utf-8"?>
<connections xmlns="http://schemas.openxmlformats.org/spreadsheetml/2006/main">
  <connection id="1" keepAlive="1" name="查詢 - 支出資料表" description="與活頁簿中 '支出資料表' 查詢的連接。" type="5" refreshedVersion="8" background="1" saveData="1">
    <dbPr connection="Provider=Microsoft.Mashup.OleDb.1;Data Source=$Workbook$;Location=支出資料表;Extended Properties=&quot;&quot;" command="SELECT * FROM [支出資料表]"/>
  </connection>
  <connection id="2" keepAlive="1" name="查詢 - 收支資料表" description="與活頁簿中 '收支資料表' 查詢的連接。" type="5" refreshedVersion="8" background="1" refreshOnLoad="1" saveData="1">
    <dbPr connection="Provider=Microsoft.Mashup.OleDb.1;Data Source=$Workbook$;Location=收支資料表;Extended Properties=&quot;&quot;" command="SELECT * FROM [收支資料表]"/>
  </connection>
</connection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 xmlns:xda="http://schemas.microsoft.com/office/spreadsheetml/2017/dynamicarray"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<sst xmlns="http://schemas.openxmlformats.org/spreadsheetml/2006/main" count="1095" uniqueCount="504">
  <si>
    <t>顏色</t>
    <phoneticPr fontId="1" type="noConversion"/>
  </si>
  <si>
    <t>位置</t>
    <phoneticPr fontId="1" type="noConversion"/>
  </si>
  <si>
    <t>傾斜角度</t>
    <phoneticPr fontId="1" type="noConversion"/>
  </si>
  <si>
    <t>Transparency</t>
    <phoneticPr fontId="1" type="noConversion"/>
  </si>
  <si>
    <t>Shadow</t>
    <phoneticPr fontId="1" type="noConversion"/>
  </si>
  <si>
    <t>#3883D4</t>
    <phoneticPr fontId="1" type="noConversion"/>
  </si>
  <si>
    <t>#224192</t>
    <phoneticPr fontId="1" type="noConversion"/>
  </si>
  <si>
    <t>#21509A</t>
    <phoneticPr fontId="1" type="noConversion"/>
  </si>
  <si>
    <t>#0F2453</t>
    <phoneticPr fontId="1" type="noConversion"/>
  </si>
  <si>
    <t>LINE</t>
    <phoneticPr fontId="1" type="noConversion"/>
  </si>
  <si>
    <t>#6494DA</t>
    <phoneticPr fontId="1" type="noConversion"/>
  </si>
  <si>
    <t>#BCC6FF</t>
    <phoneticPr fontId="1" type="noConversion"/>
  </si>
  <si>
    <t>#2F6EC7</t>
    <phoneticPr fontId="1" type="noConversion"/>
  </si>
  <si>
    <t>#224E9F</t>
    <phoneticPr fontId="1" type="noConversion"/>
  </si>
  <si>
    <t>#1C4285</t>
    <phoneticPr fontId="1" type="noConversion"/>
  </si>
  <si>
    <t>#132D64</t>
    <phoneticPr fontId="1" type="noConversion"/>
  </si>
  <si>
    <t>#15306A</t>
    <phoneticPr fontId="1" type="noConversion"/>
  </si>
  <si>
    <t>#13295E</t>
    <phoneticPr fontId="1" type="noConversion"/>
  </si>
  <si>
    <t>LIFE評估表</t>
    <phoneticPr fontId="1" type="noConversion"/>
  </si>
  <si>
    <t>目標</t>
    <phoneticPr fontId="1" type="noConversion"/>
  </si>
  <si>
    <t>公式</t>
    <phoneticPr fontId="1" type="noConversion"/>
  </si>
  <si>
    <t>平衡航道</t>
    <phoneticPr fontId="1" type="noConversion"/>
  </si>
  <si>
    <t>現況</t>
    <phoneticPr fontId="1" type="noConversion"/>
  </si>
  <si>
    <t>缺口</t>
    <phoneticPr fontId="1" type="noConversion"/>
  </si>
  <si>
    <t>細項說明</t>
    <phoneticPr fontId="1" type="noConversion"/>
  </si>
  <si>
    <t>LAUCH(啟動)</t>
  </si>
  <si>
    <t>沒有壓榨性債務(利率&gt;8%)</t>
    <phoneticPr fontId="1" type="noConversion"/>
  </si>
  <si>
    <t>月收入*</t>
    <phoneticPr fontId="1" type="noConversion"/>
  </si>
  <si>
    <t>*3-5年達成</t>
    <phoneticPr fontId="1" type="noConversion"/>
  </si>
  <si>
    <t>*債務利息不要超過通膨2%</t>
    <phoneticPr fontId="1" type="noConversion"/>
  </si>
  <si>
    <t>其他個人財產</t>
  </si>
  <si>
    <t>淨資產&lt;年收入50%</t>
  </si>
  <si>
    <t>現金準備(活期存款)</t>
    <phoneticPr fontId="1" type="noConversion"/>
  </si>
  <si>
    <t>*儲蓄率平均每年18%</t>
    <phoneticPr fontId="1" type="noConversion"/>
  </si>
  <si>
    <t>*儲蓄存款用於應急支出</t>
    <phoneticPr fontId="1" type="noConversion"/>
  </si>
  <si>
    <t>其他資產</t>
  </si>
  <si>
    <t>投資收益</t>
    <phoneticPr fontId="1" type="noConversion"/>
  </si>
  <si>
    <t>*不要有購屋念頭</t>
    <phoneticPr fontId="1" type="noConversion"/>
  </si>
  <si>
    <t>*活期存款用於日常支出</t>
    <phoneticPr fontId="1" type="noConversion"/>
  </si>
  <si>
    <t>生息資產</t>
    <phoneticPr fontId="3" type="noConversion"/>
  </si>
  <si>
    <t>現金準備(儲蓄存款)</t>
  </si>
  <si>
    <t>*通常佔據人生3-5年</t>
    <phoneticPr fontId="1" type="noConversion"/>
  </si>
  <si>
    <t>投資收益</t>
    <phoneticPr fontId="3" type="noConversion"/>
  </si>
  <si>
    <t>INDEPENDENCE(獨立)</t>
    <phoneticPr fontId="1" type="noConversion"/>
  </si>
  <si>
    <t>沒有壓榨性債務(利率&gt;10%)</t>
    <phoneticPr fontId="1" type="noConversion"/>
  </si>
  <si>
    <t>*負債比&lt;65%</t>
    <phoneticPr fontId="1" type="noConversion"/>
  </si>
  <si>
    <t>外匯</t>
  </si>
  <si>
    <t>淨資產=年收入50%-200%</t>
    <phoneticPr fontId="1" type="noConversion"/>
  </si>
  <si>
    <t>*自住屋需考慮住至少7年</t>
    <phoneticPr fontId="1" type="noConversion"/>
  </si>
  <si>
    <t>期貨</t>
  </si>
  <si>
    <t>*每個小孩增加儲蓄率2%</t>
    <phoneticPr fontId="1" type="noConversion"/>
  </si>
  <si>
    <t>長期收益</t>
    <phoneticPr fontId="3" type="noConversion"/>
  </si>
  <si>
    <t>股票</t>
  </si>
  <si>
    <t>改變人生(購屋頭期款、辭職準備金)</t>
    <phoneticPr fontId="1" type="noConversion"/>
  </si>
  <si>
    <t>基金</t>
  </si>
  <si>
    <t>淨資產</t>
    <phoneticPr fontId="1" type="noConversion"/>
  </si>
  <si>
    <t>債券</t>
  </si>
  <si>
    <t>總負債</t>
    <phoneticPr fontId="1" type="noConversion"/>
  </si>
  <si>
    <t>事業股份</t>
  </si>
  <si>
    <t>總資產</t>
    <phoneticPr fontId="1" type="noConversion"/>
  </si>
  <si>
    <t>投資不動產</t>
  </si>
  <si>
    <t>FREEDOM(自由)</t>
    <phoneticPr fontId="1" type="noConversion"/>
  </si>
  <si>
    <t>*負債比&lt;40%</t>
    <phoneticPr fontId="1" type="noConversion"/>
  </si>
  <si>
    <t>改變人生</t>
    <phoneticPr fontId="1" type="noConversion"/>
  </si>
  <si>
    <t>淨資產=年收入200%-500%</t>
    <phoneticPr fontId="1" type="noConversion"/>
  </si>
  <si>
    <t>現金準備(活期存款+儲蓄存款)</t>
    <phoneticPr fontId="1" type="noConversion"/>
  </si>
  <si>
    <t>*降低債務比例為主(增加資產)</t>
    <phoneticPr fontId="1" type="noConversion"/>
  </si>
  <si>
    <t>銀行定存</t>
    <phoneticPr fontId="1" type="noConversion"/>
  </si>
  <si>
    <t>其他個人財產</t>
    <phoneticPr fontId="1" type="noConversion"/>
  </si>
  <si>
    <t>*通常佔據人生10-15年</t>
    <phoneticPr fontId="1" type="noConversion"/>
  </si>
  <si>
    <t>壓榨性債務</t>
  </si>
  <si>
    <t>*退休儲蓄:長期投資=6:4</t>
    <phoneticPr fontId="1" type="noConversion"/>
  </si>
  <si>
    <t>高利息貸款</t>
    <phoneticPr fontId="3" type="noConversion"/>
  </si>
  <si>
    <t>長期收益</t>
    <phoneticPr fontId="1" type="noConversion"/>
  </si>
  <si>
    <t>*淨財富超過月收入*60，再考慮清償債務</t>
    <phoneticPr fontId="1" type="noConversion"/>
  </si>
  <si>
    <t>信用卡</t>
    <phoneticPr fontId="3" type="noConversion"/>
  </si>
  <si>
    <t>功能性債務</t>
    <phoneticPr fontId="1" type="noConversion"/>
  </si>
  <si>
    <t>淨財富</t>
    <phoneticPr fontId="1" type="noConversion"/>
  </si>
  <si>
    <t>車貸</t>
    <phoneticPr fontId="3" type="noConversion"/>
  </si>
  <si>
    <t>房貸</t>
    <phoneticPr fontId="3" type="noConversion"/>
  </si>
  <si>
    <t>EQUILIBRIUM(均衡)</t>
    <phoneticPr fontId="1" type="noConversion"/>
  </si>
  <si>
    <t>負債比&lt;25%</t>
  </si>
  <si>
    <t>致富性債務</t>
  </si>
  <si>
    <t>淨資產=年收入500%-</t>
    <phoneticPr fontId="1" type="noConversion"/>
  </si>
  <si>
    <t>現金準備(活期存款+儲蓄存款)</t>
  </si>
  <si>
    <t>是當持有債務，有利於未來發展</t>
    <phoneticPr fontId="1" type="noConversion"/>
  </si>
  <si>
    <t>自用不動產抵押貸款</t>
  </si>
  <si>
    <t>投資性不動產抵押貸款</t>
  </si>
  <si>
    <t>信用貸款</t>
    <phoneticPr fontId="3" type="noConversion"/>
  </si>
  <si>
    <t>分期付款</t>
    <phoneticPr fontId="3" type="noConversion"/>
  </si>
  <si>
    <t>保單貸款</t>
    <phoneticPr fontId="3" type="noConversion"/>
  </si>
  <si>
    <t>總投資資產</t>
    <phoneticPr fontId="1" type="noConversion"/>
  </si>
  <si>
    <t>總負債</t>
  </si>
  <si>
    <t>基準單位=總負債/8</t>
  </si>
  <si>
    <t>基準單位*</t>
  </si>
  <si>
    <t>預算規劃</t>
    <phoneticPr fontId="1" type="noConversion"/>
  </si>
  <si>
    <t>概要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</si>
  <si>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</si>
  <si>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</si>
  <si>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</si>
  <si>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</si>
  <si>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</si>
  <si>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</si>
  <si>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</si>
  <si>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</si>
  <si>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</si>
  <si>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</si>
  <si>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</si>
  <si>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</si>
  <si>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Total</t>
  </si>
  <si>
    <t>Avg</t>
  </si>
  <si>
    <t>總收入</t>
    <phoneticPr fontId="29" type="noConversion"/>
  </si>
  <si>
    <t>總支出</t>
    <phoneticPr fontId="29" type="noConversion"/>
  </si>
  <si>
    <t>淨額</t>
    <phoneticPr fontId="29" type="noConversion"/>
  </si>
  <si>
    <t>工資收入</t>
    <phoneticPr fontId="29" type="noConversion"/>
  </si>
  <si>
    <t xml:space="preserve"> Total </t>
  </si>
  <si>
    <t xml:space="preserve"> Avg </t>
  </si>
  <si>
    <t>薪資</t>
    <phoneticPr fontId="1" type="noConversion"/>
  </si>
  <si>
    <t>加班費</t>
    <phoneticPr fontId="1" type="noConversion"/>
  </si>
  <si>
    <t>佣金(考績獎金)</t>
    <phoneticPr fontId="1" type="noConversion"/>
  </si>
  <si>
    <t>年終獎金</t>
    <phoneticPr fontId="1" type="noConversion"/>
  </si>
  <si>
    <t>兼職收入</t>
    <phoneticPr fontId="1" type="noConversion"/>
  </si>
  <si>
    <t>其他</t>
    <phoneticPr fontId="29" type="noConversion"/>
  </si>
  <si>
    <t>總</t>
    <phoneticPr fontId="1" type="noConversion"/>
  </si>
  <si>
    <t>非工資收入</t>
    <phoneticPr fontId="29" type="noConversion"/>
  </si>
  <si>
    <t>營利所得</t>
    <phoneticPr fontId="1" type="noConversion"/>
  </si>
  <si>
    <t>資本利得</t>
    <phoneticPr fontId="1" type="noConversion"/>
  </si>
  <si>
    <t>人情借款</t>
  </si>
  <si>
    <t>其他</t>
    <phoneticPr fontId="1" type="noConversion"/>
  </si>
  <si>
    <t>被動收入</t>
    <phoneticPr fontId="29" type="noConversion"/>
  </si>
  <si>
    <t>退休金</t>
    <phoneticPr fontId="1" type="noConversion"/>
  </si>
  <si>
    <t>保險滿期金</t>
    <phoneticPr fontId="1" type="noConversion"/>
  </si>
  <si>
    <t>跟會到期</t>
    <phoneticPr fontId="1" type="noConversion"/>
  </si>
  <si>
    <t>利息收入</t>
    <phoneticPr fontId="1" type="noConversion"/>
  </si>
  <si>
    <t>租金收入</t>
    <phoneticPr fontId="1" type="noConversion"/>
  </si>
  <si>
    <t>股利</t>
    <phoneticPr fontId="1" type="noConversion"/>
  </si>
  <si>
    <t>蓄水池分配</t>
    <phoneticPr fontId="29" type="noConversion"/>
  </si>
  <si>
    <t>現金池</t>
    <phoneticPr fontId="1" type="noConversion"/>
  </si>
  <si>
    <t>必要支出（NEC）</t>
  </si>
  <si>
    <t>預備金池</t>
    <phoneticPr fontId="1" type="noConversion"/>
  </si>
  <si>
    <t>長期儲蓄（LTS）</t>
    <phoneticPr fontId="1" type="noConversion"/>
  </si>
  <si>
    <t>投資池</t>
    <phoneticPr fontId="1" type="noConversion"/>
  </si>
  <si>
    <t>財務自由（FFA）</t>
    <phoneticPr fontId="1" type="noConversion"/>
  </si>
  <si>
    <t>教育成長（EDU）</t>
    <phoneticPr fontId="1" type="noConversion"/>
  </si>
  <si>
    <t>玩樂享受（PLY）</t>
    <phoneticPr fontId="1" type="noConversion"/>
  </si>
  <si>
    <t>慈善（GIV）</t>
    <phoneticPr fontId="1" type="noConversion"/>
  </si>
  <si>
    <t>投資池分配</t>
    <phoneticPr fontId="29" type="noConversion"/>
  </si>
  <si>
    <t>短期</t>
    <phoneticPr fontId="1" type="noConversion"/>
  </si>
  <si>
    <t>中期</t>
    <phoneticPr fontId="1" type="noConversion"/>
  </si>
  <si>
    <t>長期</t>
    <phoneticPr fontId="1" type="noConversion"/>
  </si>
  <si>
    <t>食</t>
    <phoneticPr fontId="29" type="noConversion"/>
  </si>
  <si>
    <t>外食</t>
  </si>
  <si>
    <t>食材</t>
  </si>
  <si>
    <t>佔總支出百分比</t>
    <phoneticPr fontId="29" type="noConversion"/>
  </si>
  <si>
    <t>衣</t>
    <phoneticPr fontId="29" type="noConversion"/>
  </si>
  <si>
    <t>治裝</t>
  </si>
  <si>
    <t>美容美髮</t>
  </si>
  <si>
    <t>衣物送洗</t>
    <phoneticPr fontId="29" type="noConversion"/>
  </si>
  <si>
    <t>住</t>
    <phoneticPr fontId="29" type="noConversion"/>
  </si>
  <si>
    <t>抵押貸款/租金</t>
    <phoneticPr fontId="29" type="noConversion"/>
  </si>
  <si>
    <t>電</t>
  </si>
  <si>
    <t>天然氣/瓦斯</t>
    <phoneticPr fontId="29" type="noConversion"/>
  </si>
  <si>
    <t>水</t>
    <phoneticPr fontId="29" type="noConversion"/>
  </si>
  <si>
    <t>有線/衛星/網路</t>
    <phoneticPr fontId="29" type="noConversion"/>
  </si>
  <si>
    <t>家具/家電</t>
    <phoneticPr fontId="29" type="noConversion"/>
  </si>
  <si>
    <t>家居用品</t>
    <phoneticPr fontId="29" type="noConversion"/>
  </si>
  <si>
    <t>行</t>
    <phoneticPr fontId="29" type="noConversion"/>
  </si>
  <si>
    <t>停車費</t>
  </si>
  <si>
    <t>加油費</t>
  </si>
  <si>
    <t>過路費</t>
  </si>
  <si>
    <t>保養</t>
  </si>
  <si>
    <t>大眾交通</t>
  </si>
  <si>
    <t>育</t>
    <phoneticPr fontId="29" type="noConversion"/>
  </si>
  <si>
    <t>學費</t>
    <phoneticPr fontId="29" type="noConversion"/>
  </si>
  <si>
    <t>書籍</t>
    <phoneticPr fontId="29" type="noConversion"/>
  </si>
  <si>
    <t>課程</t>
    <phoneticPr fontId="29" type="noConversion"/>
  </si>
  <si>
    <t>樂</t>
    <phoneticPr fontId="1" type="noConversion"/>
  </si>
  <si>
    <t>活動</t>
    <phoneticPr fontId="29" type="noConversion"/>
  </si>
  <si>
    <t>遊戲</t>
    <phoneticPr fontId="29" type="noConversion"/>
  </si>
  <si>
    <t>趣味用品</t>
    <phoneticPr fontId="29" type="noConversion"/>
  </si>
  <si>
    <t>嗜好</t>
    <phoneticPr fontId="29" type="noConversion"/>
  </si>
  <si>
    <t>媒體</t>
    <phoneticPr fontId="29" type="noConversion"/>
  </si>
  <si>
    <t>戶外娛樂</t>
    <phoneticPr fontId="29" type="noConversion"/>
  </si>
  <si>
    <t>運動</t>
    <phoneticPr fontId="29" type="noConversion"/>
  </si>
  <si>
    <t>玩具/小工具</t>
    <phoneticPr fontId="29" type="noConversion"/>
  </si>
  <si>
    <t>假期/旅行</t>
    <phoneticPr fontId="29" type="noConversion"/>
  </si>
  <si>
    <t>保險</t>
    <phoneticPr fontId="29" type="noConversion"/>
  </si>
  <si>
    <t>車輛</t>
    <phoneticPr fontId="29" type="noConversion"/>
  </si>
  <si>
    <t>健康</t>
    <phoneticPr fontId="29" type="noConversion"/>
  </si>
  <si>
    <t>住家/租賃</t>
    <phoneticPr fontId="29" type="noConversion"/>
  </si>
  <si>
    <t>給予</t>
    <phoneticPr fontId="29" type="noConversion"/>
  </si>
  <si>
    <t>贈送的禮物</t>
    <phoneticPr fontId="29" type="noConversion"/>
  </si>
  <si>
    <t>慈善捐款</t>
    <phoneticPr fontId="29" type="noConversion"/>
  </si>
  <si>
    <t>紅白包</t>
    <phoneticPr fontId="1" type="noConversion"/>
  </si>
  <si>
    <t>孝親</t>
  </si>
  <si>
    <t>負債</t>
    <phoneticPr fontId="29" type="noConversion"/>
  </si>
  <si>
    <t>信用卡債務</t>
    <phoneticPr fontId="29" type="noConversion"/>
  </si>
  <si>
    <t>其他負債</t>
    <phoneticPr fontId="29" type="noConversion"/>
  </si>
  <si>
    <t>贍養費/子女扶養費</t>
    <phoneticPr fontId="29" type="noConversion"/>
  </si>
  <si>
    <t>稅</t>
    <phoneticPr fontId="29" type="noConversion"/>
  </si>
  <si>
    <t>寵物</t>
    <phoneticPr fontId="29" type="noConversion"/>
  </si>
  <si>
    <t>食物</t>
    <phoneticPr fontId="29" type="noConversion"/>
  </si>
  <si>
    <t>醫療</t>
    <phoneticPr fontId="29" type="noConversion"/>
  </si>
  <si>
    <t>玩具</t>
    <phoneticPr fontId="29" type="noConversion"/>
  </si>
  <si>
    <t>用品</t>
    <phoneticPr fontId="29" type="noConversion"/>
  </si>
  <si>
    <t>子女</t>
    <phoneticPr fontId="29" type="noConversion"/>
  </si>
  <si>
    <t>衣物</t>
    <phoneticPr fontId="29" type="noConversion"/>
  </si>
  <si>
    <t>學參</t>
    <phoneticPr fontId="29" type="noConversion"/>
  </si>
  <si>
    <t>學校用品</t>
    <phoneticPr fontId="29" type="noConversion"/>
  </si>
  <si>
    <t>保母</t>
    <phoneticPr fontId="29" type="noConversion"/>
  </si>
  <si>
    <t>所得稅</t>
  </si>
  <si>
    <t>牌照稅</t>
  </si>
  <si>
    <t>燃料稅</t>
  </si>
  <si>
    <t>勞健保</t>
  </si>
  <si>
    <t>醫生</t>
    <phoneticPr fontId="29" type="noConversion"/>
  </si>
  <si>
    <t>藥物</t>
    <phoneticPr fontId="29" type="noConversion"/>
  </si>
  <si>
    <t>雜項</t>
    <phoneticPr fontId="29" type="noConversion"/>
  </si>
  <si>
    <t xml:space="preserve"> 收入占比 </t>
  </si>
  <si>
    <t xml:space="preserve"> 資金占比</t>
  </si>
  <si>
    <t>投資池收入</t>
  </si>
  <si>
    <t>預期報酬率</t>
  </si>
  <si>
    <t>總報酬率</t>
  </si>
  <si>
    <t>累計</t>
  </si>
  <si>
    <t>總累積報酬率</t>
  </si>
  <si>
    <t>S&amp;P → 六罐 映射</t>
  </si>
  <si>
    <t>NEC</t>
  </si>
  <si>
    <t>FFA</t>
  </si>
  <si>
    <t>EDU</t>
  </si>
  <si>
    <t>PLY</t>
  </si>
  <si>
    <t>LTS</t>
  </si>
  <si>
    <t>GIV</t>
  </si>
  <si>
    <t>要花</t>
  </si>
  <si>
    <t>保命</t>
  </si>
  <si>
    <t>生錢</t>
  </si>
  <si>
    <t>保本升值</t>
  </si>
  <si>
    <t>S&amp;P</t>
  </si>
  <si>
    <t>要花 (10%)</t>
  </si>
  <si>
    <t>保命 (20%)</t>
  </si>
  <si>
    <t>生錢 (30%)</t>
  </si>
  <si>
    <t>保本升值 (40%)</t>
  </si>
  <si>
    <t>帳戶</t>
  </si>
  <si>
    <t>幣種</t>
  </si>
  <si>
    <t>記錄類型</t>
  </si>
  <si>
    <t>主類別</t>
  </si>
  <si>
    <t>子類別</t>
  </si>
  <si>
    <t>金額</t>
  </si>
  <si>
    <t>手續費</t>
  </si>
  <si>
    <t>折扣</t>
  </si>
  <si>
    <t>名稱</t>
  </si>
  <si>
    <t>商家</t>
  </si>
  <si>
    <t>日期</t>
  </si>
  <si>
    <t>時間</t>
  </si>
  <si>
    <t>專案</t>
  </si>
  <si>
    <t>描述</t>
  </si>
  <si>
    <t>標籤</t>
  </si>
  <si>
    <t>對象</t>
  </si>
  <si>
    <t>錢包</t>
  </si>
  <si>
    <t>TWD</t>
  </si>
  <si>
    <t>收入</t>
  </si>
  <si>
    <t>工資收入</t>
  </si>
  <si>
    <t>支出</t>
  </si>
  <si>
    <t>理財支出</t>
    <phoneticPr fontId="1" type="noConversion"/>
  </si>
  <si>
    <t>活期存款</t>
    <phoneticPr fontId="1" type="noConversion"/>
  </si>
  <si>
    <t>食</t>
    <phoneticPr fontId="1" type="noConversion"/>
  </si>
  <si>
    <t>外食</t>
    <phoneticPr fontId="1" type="noConversion"/>
  </si>
  <si>
    <t>生活開銷</t>
  </si>
  <si>
    <t>貸款</t>
    <phoneticPr fontId="1" type="noConversion"/>
  </si>
  <si>
    <t>功能性債務</t>
  </si>
  <si>
    <t>行</t>
    <phoneticPr fontId="1" type="noConversion"/>
  </si>
  <si>
    <t>住</t>
    <phoneticPr fontId="1" type="noConversion"/>
  </si>
  <si>
    <t>日常用品</t>
  </si>
  <si>
    <t>名片冊</t>
  </si>
  <si>
    <t>食材</t>
    <phoneticPr fontId="1" type="noConversion"/>
  </si>
  <si>
    <t>火車</t>
  </si>
  <si>
    <t>人情</t>
    <phoneticPr fontId="1" type="noConversion"/>
  </si>
  <si>
    <t>借款</t>
    <phoneticPr fontId="1" type="noConversion"/>
  </si>
  <si>
    <t>投資</t>
    <phoneticPr fontId="1" type="noConversion"/>
  </si>
  <si>
    <t>外匯</t>
    <phoneticPr fontId="1" type="noConversion"/>
  </si>
  <si>
    <t>醫療</t>
  </si>
  <si>
    <t>醫療保健</t>
  </si>
  <si>
    <t>資產</t>
    <phoneticPr fontId="1" type="noConversion"/>
  </si>
  <si>
    <t>總值</t>
    <phoneticPr fontId="3" type="noConversion"/>
  </si>
  <si>
    <t>資產結構</t>
    <phoneticPr fontId="3" type="noConversion"/>
  </si>
  <si>
    <t>流動性資產</t>
    <phoneticPr fontId="3" type="noConversion"/>
  </si>
  <si>
    <t>價值</t>
    <phoneticPr fontId="1" type="noConversion"/>
  </si>
  <si>
    <t>佔比</t>
    <phoneticPr fontId="1" type="noConversion"/>
  </si>
  <si>
    <t>流動性投資</t>
    <phoneticPr fontId="3" type="noConversion"/>
  </si>
  <si>
    <t>其他資產</t>
    <phoneticPr fontId="3" type="noConversion"/>
  </si>
  <si>
    <t>日常消費(10%)</t>
    <phoneticPr fontId="3" type="noConversion"/>
  </si>
  <si>
    <t>活期存款</t>
    <phoneticPr fontId="3" type="noConversion"/>
  </si>
  <si>
    <t>期貨</t>
    <phoneticPr fontId="3" type="noConversion"/>
  </si>
  <si>
    <t>車輛</t>
    <phoneticPr fontId="3" type="noConversion"/>
  </si>
  <si>
    <t>儲蓄存款</t>
    <phoneticPr fontId="3" type="noConversion"/>
  </si>
  <si>
    <t>外匯</t>
    <phoneticPr fontId="3" type="noConversion"/>
  </si>
  <si>
    <t>黃金</t>
    <phoneticPr fontId="3" type="noConversion"/>
  </si>
  <si>
    <t>儲蓄存款</t>
  </si>
  <si>
    <t>壽險</t>
    <phoneticPr fontId="3" type="noConversion"/>
  </si>
  <si>
    <t>基金</t>
    <phoneticPr fontId="3" type="noConversion"/>
  </si>
  <si>
    <t>收藏品</t>
    <phoneticPr fontId="3" type="noConversion"/>
  </si>
  <si>
    <t>保障帳戶(20％)</t>
    <phoneticPr fontId="3" type="noConversion"/>
  </si>
  <si>
    <t>銀行定存</t>
    <phoneticPr fontId="3" type="noConversion"/>
  </si>
  <si>
    <t>債券</t>
    <phoneticPr fontId="3" type="noConversion"/>
  </si>
  <si>
    <t>珠寶</t>
    <phoneticPr fontId="1" type="noConversion"/>
  </si>
  <si>
    <t>壽險</t>
  </si>
  <si>
    <t>儲蓄險</t>
    <phoneticPr fontId="1" type="noConversion"/>
  </si>
  <si>
    <t>股票</t>
    <phoneticPr fontId="3" type="noConversion"/>
  </si>
  <si>
    <t>保險</t>
    <phoneticPr fontId="3" type="noConversion"/>
  </si>
  <si>
    <t>銀行定存</t>
  </si>
  <si>
    <t>其他</t>
    <phoneticPr fontId="3" type="noConversion"/>
  </si>
  <si>
    <t>儲蓄險</t>
  </si>
  <si>
    <t>合計</t>
  </si>
  <si>
    <t>自用不動產</t>
    <phoneticPr fontId="3" type="noConversion"/>
  </si>
  <si>
    <t>非流動性投資</t>
    <phoneticPr fontId="3" type="noConversion"/>
  </si>
  <si>
    <t>升息資產</t>
    <phoneticPr fontId="3" type="noConversion"/>
  </si>
  <si>
    <t>投資收益帳戶(30%)</t>
    <phoneticPr fontId="3" type="noConversion"/>
  </si>
  <si>
    <t>住宅</t>
    <phoneticPr fontId="3" type="noConversion"/>
  </si>
  <si>
    <t>事業股份</t>
    <phoneticPr fontId="3" type="noConversion"/>
  </si>
  <si>
    <t>存貨</t>
    <phoneticPr fontId="3" type="noConversion"/>
  </si>
  <si>
    <t>辦公室</t>
    <phoneticPr fontId="3" type="noConversion"/>
  </si>
  <si>
    <t>投資不動產</t>
    <phoneticPr fontId="3" type="noConversion"/>
  </si>
  <si>
    <t>工廠</t>
    <phoneticPr fontId="3" type="noConversion"/>
  </si>
  <si>
    <t>股票(未上市)</t>
    <phoneticPr fontId="3" type="noConversion"/>
  </si>
  <si>
    <t>長期收益帳戶(40%)</t>
    <phoneticPr fontId="3" type="noConversion"/>
  </si>
  <si>
    <t>負債</t>
    <phoneticPr fontId="1" type="noConversion"/>
  </si>
  <si>
    <t>總值</t>
  </si>
  <si>
    <t>壓榨性債務</t>
    <phoneticPr fontId="3" type="noConversion"/>
  </si>
  <si>
    <t>月繳</t>
    <phoneticPr fontId="3" type="noConversion"/>
  </si>
  <si>
    <t>到期日</t>
    <phoneticPr fontId="3" type="noConversion"/>
  </si>
  <si>
    <t>功能性債務</t>
    <phoneticPr fontId="3" type="noConversion"/>
  </si>
  <si>
    <t>聯邦信用卡(16.07%)</t>
    <phoneticPr fontId="3" type="noConversion"/>
  </si>
  <si>
    <t>理想值</t>
  </si>
  <si>
    <t>星展信用卡(15.89%)</t>
    <phoneticPr fontId="3" type="noConversion"/>
  </si>
  <si>
    <t xml:space="preserve"> ●短期償債能力強弱：</t>
  </si>
  <si>
    <t>≧100%</t>
  </si>
  <si>
    <t>中信信貸(14.78%)</t>
    <phoneticPr fontId="3" type="noConversion"/>
  </si>
  <si>
    <t>商品分期</t>
    <phoneticPr fontId="3" type="noConversion"/>
  </si>
  <si>
    <t xml:space="preserve"> 1.若數據&lt;100%，生活容易陷入</t>
    <phoneticPr fontId="3" type="noConversion"/>
  </si>
  <si>
    <t xml:space="preserve">   週轉不靈的窘境。</t>
  </si>
  <si>
    <t>星展信貸(5.99%)</t>
    <phoneticPr fontId="3" type="noConversion"/>
  </si>
  <si>
    <t xml:space="preserve"> 2.歐美的數據設定為≧1.5</t>
  </si>
  <si>
    <t>樂分期</t>
    <phoneticPr fontId="3" type="noConversion"/>
  </si>
  <si>
    <t>裕富分期</t>
    <phoneticPr fontId="3" type="noConversion"/>
  </si>
  <si>
    <t xml:space="preserve"> ●負債比例大小：</t>
  </si>
  <si>
    <t>≦50%</t>
  </si>
  <si>
    <t>致富性債務</t>
    <phoneticPr fontId="3" type="noConversion"/>
  </si>
  <si>
    <t xml:space="preserve"> 1.若數據&gt;50%，容易造成生</t>
    <phoneticPr fontId="3" type="noConversion"/>
  </si>
  <si>
    <t>和潤機車</t>
    <phoneticPr fontId="3" type="noConversion"/>
  </si>
  <si>
    <t>自用不動產抵押貸款</t>
    <phoneticPr fontId="3" type="noConversion"/>
  </si>
  <si>
    <t xml:space="preserve">   活壓力過大。</t>
  </si>
  <si>
    <t>投資性不動產抵押貸款</t>
    <phoneticPr fontId="3" type="noConversion"/>
  </si>
  <si>
    <t xml:space="preserve"> 2.若數據&gt;50%，顯示出資產</t>
    <phoneticPr fontId="3" type="noConversion"/>
  </si>
  <si>
    <t>信用貸款</t>
  </si>
  <si>
    <t xml:space="preserve">   大部份是舉債購得的。</t>
  </si>
  <si>
    <t>分期付款</t>
  </si>
  <si>
    <t xml:space="preserve"> </t>
  </si>
  <si>
    <t>保單貸款</t>
  </si>
  <si>
    <t xml:space="preserve"> ●生活週轉金充裕度</t>
  </si>
  <si>
    <t>≧300%</t>
  </si>
  <si>
    <t xml:space="preserve"> 1.數據&lt;300%，太冒險；數據&gt;600%</t>
    <phoneticPr fontId="3" type="noConversion"/>
  </si>
  <si>
    <t xml:space="preserve">   又太保守，建議年輕者以300%為佳</t>
    <phoneticPr fontId="3" type="noConversion"/>
  </si>
  <si>
    <t xml:space="preserve"> ，年長者或退休者以6為佳。</t>
    <phoneticPr fontId="3" type="noConversion"/>
  </si>
  <si>
    <t xml:space="preserve">   </t>
    <phoneticPr fontId="3" type="noConversion"/>
  </si>
  <si>
    <t xml:space="preserve"> 2.數據&gt;3時，建議可將多餘資金挪做</t>
    <phoneticPr fontId="3" type="noConversion"/>
  </si>
  <si>
    <t xml:space="preserve">   其他相對安全的投資工具(例如債券..等)</t>
    <phoneticPr fontId="3" type="noConversion"/>
  </si>
  <si>
    <t>現在日期</t>
    <phoneticPr fontId="1" type="noConversion"/>
  </si>
  <si>
    <t>年月</t>
    <phoneticPr fontId="1" type="noConversion"/>
  </si>
  <si>
    <t>估值</t>
    <phoneticPr fontId="1" type="noConversion"/>
  </si>
  <si>
    <t>結構</t>
    <phoneticPr fontId="1" type="noConversion"/>
  </si>
  <si>
    <t>持有資金</t>
    <phoneticPr fontId="1" type="noConversion"/>
  </si>
  <si>
    <t>現金流</t>
    <phoneticPr fontId="1" type="noConversion"/>
  </si>
  <si>
    <t>收入</t>
    <phoneticPr fontId="1" type="noConversion"/>
  </si>
  <si>
    <t>總計</t>
    <phoneticPr fontId="1" type="noConversion"/>
  </si>
  <si>
    <t>工資收入</t>
    <phoneticPr fontId="1" type="noConversion"/>
  </si>
  <si>
    <t>薪資</t>
  </si>
  <si>
    <t>加班費</t>
  </si>
  <si>
    <t>佣金(考績獎金)</t>
  </si>
  <si>
    <t>年終獎金</t>
  </si>
  <si>
    <t>兼職收入</t>
  </si>
  <si>
    <t>其他</t>
  </si>
  <si>
    <t>非工資收入</t>
  </si>
  <si>
    <t>營利所得</t>
  </si>
  <si>
    <t>資本利得</t>
  </si>
  <si>
    <t>人情借款</t>
    <phoneticPr fontId="1" type="noConversion"/>
  </si>
  <si>
    <t>被動</t>
    <phoneticPr fontId="1" type="noConversion"/>
  </si>
  <si>
    <t>退休金</t>
  </si>
  <si>
    <t>保險滿期金</t>
  </si>
  <si>
    <t>跟會到期</t>
  </si>
  <si>
    <t>利息收入</t>
  </si>
  <si>
    <t>租金收入</t>
  </si>
  <si>
    <t>股利</t>
  </si>
  <si>
    <t>緊急預備金</t>
  </si>
  <si>
    <t>夢想基金</t>
  </si>
  <si>
    <t>退休基金</t>
  </si>
  <si>
    <t>投資資金</t>
  </si>
  <si>
    <t>教育基金</t>
  </si>
  <si>
    <t>支出</t>
    <phoneticPr fontId="1" type="noConversion"/>
  </si>
  <si>
    <t>必要支出</t>
    <phoneticPr fontId="1" type="noConversion"/>
  </si>
  <si>
    <t>衣</t>
    <phoneticPr fontId="1" type="noConversion"/>
  </si>
  <si>
    <t>衣物送洗</t>
  </si>
  <si>
    <t>抵押貸款/租金</t>
  </si>
  <si>
    <t>天然氣/瓦斯</t>
  </si>
  <si>
    <t>水</t>
  </si>
  <si>
    <t>有線/衛星/網路</t>
  </si>
  <si>
    <t>家具/家電</t>
  </si>
  <si>
    <t>家居用品</t>
  </si>
  <si>
    <t>稅</t>
    <phoneticPr fontId="1" type="noConversion"/>
  </si>
  <si>
    <t>勞健保</t>
    <phoneticPr fontId="1" type="noConversion"/>
  </si>
  <si>
    <t>保險</t>
  </si>
  <si>
    <t>車輛</t>
  </si>
  <si>
    <t>健康</t>
  </si>
  <si>
    <t>住家/租賃</t>
  </si>
  <si>
    <t>需要</t>
    <phoneticPr fontId="1" type="noConversion"/>
  </si>
  <si>
    <t>育</t>
    <phoneticPr fontId="1" type="noConversion"/>
  </si>
  <si>
    <t>學費</t>
  </si>
  <si>
    <t>書籍</t>
  </si>
  <si>
    <t>課程</t>
  </si>
  <si>
    <t>給予</t>
  </si>
  <si>
    <t>贈送的禮物</t>
  </si>
  <si>
    <t>慈善捐款</t>
  </si>
  <si>
    <t>紅白包</t>
  </si>
  <si>
    <t>醫</t>
    <phoneticPr fontId="1" type="noConversion"/>
  </si>
  <si>
    <t>藥品</t>
  </si>
  <si>
    <t>門診</t>
  </si>
  <si>
    <t>想要</t>
    <phoneticPr fontId="1" type="noConversion"/>
  </si>
  <si>
    <t>活動</t>
  </si>
  <si>
    <t>遊戲</t>
  </si>
  <si>
    <t>趣味用品</t>
  </si>
  <si>
    <t>嗜好</t>
  </si>
  <si>
    <t>媒體</t>
  </si>
  <si>
    <t>戶外娛樂</t>
  </si>
  <si>
    <t>運動</t>
  </si>
  <si>
    <t>玩具/小工具</t>
  </si>
  <si>
    <t>假期/旅行</t>
  </si>
  <si>
    <t>年份</t>
    <phoneticPr fontId="1" type="noConversion"/>
  </si>
  <si>
    <t>初始</t>
    <phoneticPr fontId="1" type="noConversion"/>
  </si>
  <si>
    <t>本業</t>
    <phoneticPr fontId="1" type="noConversion"/>
  </si>
  <si>
    <t>副業</t>
    <phoneticPr fontId="1" type="noConversion"/>
  </si>
  <si>
    <t>投資盈利</t>
    <phoneticPr fontId="1" type="noConversion"/>
  </si>
  <si>
    <t>外匯盈利</t>
    <phoneticPr fontId="1" type="noConversion"/>
  </si>
  <si>
    <t>治裝</t>
    <phoneticPr fontId="1" type="noConversion"/>
  </si>
  <si>
    <t>美容美髮</t>
    <phoneticPr fontId="1" type="noConversion"/>
  </si>
  <si>
    <t>兔子</t>
  </si>
  <si>
    <t>通話</t>
    <phoneticPr fontId="1" type="noConversion"/>
  </si>
  <si>
    <t>網路費</t>
  </si>
  <si>
    <t>瓦斯</t>
  </si>
  <si>
    <t>保養</t>
    <phoneticPr fontId="1" type="noConversion"/>
  </si>
  <si>
    <t>大眾交通</t>
    <phoneticPr fontId="1" type="noConversion"/>
  </si>
  <si>
    <t>壓榨性債務</t>
    <phoneticPr fontId="1" type="noConversion"/>
  </si>
  <si>
    <t>致富性債務</t>
    <phoneticPr fontId="1" type="noConversion"/>
  </si>
  <si>
    <t>進修</t>
    <phoneticPr fontId="1" type="noConversion"/>
  </si>
  <si>
    <t>書籍</t>
    <phoneticPr fontId="1" type="noConversion"/>
  </si>
  <si>
    <t>給予</t>
    <phoneticPr fontId="1" type="noConversion"/>
  </si>
  <si>
    <t>孝親</t>
    <phoneticPr fontId="1" type="noConversion"/>
  </si>
  <si>
    <t>工作支出</t>
    <phoneticPr fontId="1" type="noConversion"/>
  </si>
  <si>
    <t>雜誌視聽</t>
    <phoneticPr fontId="1" type="noConversion"/>
  </si>
  <si>
    <t>旅遊</t>
    <phoneticPr fontId="1" type="noConversion"/>
  </si>
  <si>
    <t>夢想</t>
    <phoneticPr fontId="3" type="noConversion"/>
  </si>
  <si>
    <t>儲蓄</t>
    <phoneticPr fontId="1" type="noConversion"/>
  </si>
  <si>
    <t>保險</t>
    <phoneticPr fontId="1" type="noConversion"/>
  </si>
  <si>
    <r>
      <rPr>
        <b/>
        <sz val="16"/>
        <color theme="0"/>
        <rFont val="微軟正黑體"/>
        <family val="2"/>
        <charset val="136"/>
      </rPr>
      <t>年度保費</t>
    </r>
  </si>
  <si>
    <t>名稱</t>
    <phoneticPr fontId="1" type="noConversion"/>
  </si>
  <si>
    <t>類型</t>
    <phoneticPr fontId="1" type="noConversion"/>
  </si>
  <si>
    <t>期限</t>
    <phoneticPr fontId="1" type="noConversion"/>
  </si>
  <si>
    <r>
      <rPr>
        <b/>
        <sz val="14"/>
        <color theme="0"/>
        <rFont val="微軟正黑體"/>
        <family val="2"/>
        <charset val="136"/>
      </rPr>
      <t>身故保障</t>
    </r>
    <r>
      <rPr>
        <b/>
        <sz val="14"/>
        <color theme="0"/>
        <rFont val="Calibri"/>
        <family val="2"/>
      </rPr>
      <t>(</t>
    </r>
    <r>
      <rPr>
        <b/>
        <sz val="14"/>
        <color theme="0"/>
        <rFont val="微軟正黑體"/>
        <family val="2"/>
        <charset val="136"/>
      </rPr>
      <t>萬元</t>
    </r>
    <r>
      <rPr>
        <b/>
        <sz val="14"/>
        <color theme="0"/>
        <rFont val="Calibri"/>
        <family val="2"/>
      </rPr>
      <t>)</t>
    </r>
  </si>
  <si>
    <r>
      <rPr>
        <b/>
        <sz val="14"/>
        <color theme="0"/>
        <rFont val="微軟正黑體"/>
        <family val="2"/>
        <charset val="136"/>
      </rPr>
      <t>住院醫療</t>
    </r>
    <r>
      <rPr>
        <b/>
        <sz val="14"/>
        <color theme="0"/>
        <rFont val="Calibri"/>
        <family val="2"/>
      </rPr>
      <t>(</t>
    </r>
    <r>
      <rPr>
        <b/>
        <sz val="14"/>
        <color theme="0"/>
        <rFont val="微軟正黑體"/>
        <family val="2"/>
        <charset val="136"/>
      </rPr>
      <t>元</t>
    </r>
    <r>
      <rPr>
        <b/>
        <sz val="14"/>
        <color theme="0"/>
        <rFont val="Calibri"/>
        <family val="2"/>
      </rPr>
      <t>)</t>
    </r>
  </si>
  <si>
    <r>
      <rPr>
        <b/>
        <sz val="14"/>
        <color theme="0"/>
        <rFont val="微軟正黑體"/>
        <family val="2"/>
        <charset val="136"/>
      </rPr>
      <t>傷殘給付</t>
    </r>
    <r>
      <rPr>
        <b/>
        <sz val="14"/>
        <color theme="0"/>
        <rFont val="Calibri"/>
        <family val="2"/>
      </rPr>
      <t>(</t>
    </r>
    <r>
      <rPr>
        <b/>
        <sz val="14"/>
        <color theme="0"/>
        <rFont val="微軟正黑體"/>
        <family val="2"/>
        <charset val="136"/>
      </rPr>
      <t>萬元</t>
    </r>
    <r>
      <rPr>
        <b/>
        <sz val="14"/>
        <color theme="0"/>
        <rFont val="Calibri"/>
        <family val="2"/>
      </rPr>
      <t>)</t>
    </r>
  </si>
  <si>
    <r>
      <rPr>
        <b/>
        <sz val="14"/>
        <color theme="0"/>
        <rFont val="微軟正黑體"/>
        <family val="2"/>
        <charset val="136"/>
      </rPr>
      <t>手術給付</t>
    </r>
    <r>
      <rPr>
        <b/>
        <sz val="14"/>
        <color theme="0"/>
        <rFont val="Calibri"/>
        <family val="2"/>
      </rPr>
      <t>(</t>
    </r>
    <r>
      <rPr>
        <b/>
        <sz val="14"/>
        <color theme="0"/>
        <rFont val="微軟正黑體"/>
        <family val="2"/>
        <charset val="136"/>
      </rPr>
      <t>元</t>
    </r>
    <r>
      <rPr>
        <b/>
        <sz val="14"/>
        <color theme="0"/>
        <rFont val="Calibri"/>
        <family val="2"/>
      </rPr>
      <t>)</t>
    </r>
  </si>
  <si>
    <r>
      <rPr>
        <b/>
        <sz val="14"/>
        <color theme="0"/>
        <rFont val="微軟正黑體"/>
        <family val="2"/>
        <charset val="136"/>
      </rPr>
      <t>癌症給付</t>
    </r>
    <r>
      <rPr>
        <b/>
        <sz val="14"/>
        <color theme="0"/>
        <rFont val="Calibri"/>
        <family val="2"/>
      </rPr>
      <t>(</t>
    </r>
    <r>
      <rPr>
        <b/>
        <sz val="14"/>
        <color theme="0"/>
        <rFont val="微軟正黑體"/>
        <family val="2"/>
        <charset val="136"/>
      </rPr>
      <t>萬元</t>
    </r>
    <r>
      <rPr>
        <b/>
        <sz val="14"/>
        <color theme="0"/>
        <rFont val="Calibri"/>
        <family val="2"/>
      </rPr>
      <t>)</t>
    </r>
  </si>
  <si>
    <r>
      <rPr>
        <b/>
        <sz val="12"/>
        <color theme="1"/>
        <rFont val="微軟正黑體"/>
        <family val="2"/>
        <charset val="136"/>
      </rPr>
      <t>身故壽險</t>
    </r>
  </si>
  <si>
    <r>
      <rPr>
        <b/>
        <sz val="12"/>
        <color theme="1"/>
        <rFont val="微軟正黑體"/>
        <family val="2"/>
        <charset val="136"/>
      </rPr>
      <t>意外身故</t>
    </r>
  </si>
  <si>
    <r>
      <rPr>
        <b/>
        <sz val="12"/>
        <color theme="1"/>
        <rFont val="微軟正黑體"/>
        <family val="2"/>
        <charset val="136"/>
      </rPr>
      <t>癌症身故</t>
    </r>
  </si>
  <si>
    <r>
      <rPr>
        <b/>
        <sz val="12"/>
        <color theme="1"/>
        <rFont val="微軟正黑體"/>
        <family val="2"/>
        <charset val="136"/>
      </rPr>
      <t>實支實付</t>
    </r>
  </si>
  <si>
    <r>
      <rPr>
        <b/>
        <sz val="12"/>
        <color theme="1"/>
        <rFont val="微軟正黑體"/>
        <family val="2"/>
        <charset val="136"/>
      </rPr>
      <t>日院住額</t>
    </r>
  </si>
  <si>
    <r>
      <rPr>
        <b/>
        <sz val="12"/>
        <color theme="1"/>
        <rFont val="Calibri"/>
        <family val="2"/>
      </rPr>
      <t>1-3</t>
    </r>
    <r>
      <rPr>
        <b/>
        <sz val="12"/>
        <color theme="1"/>
        <rFont val="微軟正黑體"/>
        <family val="2"/>
        <charset val="136"/>
      </rPr>
      <t>級</t>
    </r>
  </si>
  <si>
    <r>
      <rPr>
        <b/>
        <sz val="12"/>
        <color theme="1"/>
        <rFont val="Calibri"/>
        <family val="2"/>
      </rPr>
      <t>3-6</t>
    </r>
    <r>
      <rPr>
        <b/>
        <sz val="12"/>
        <color theme="1"/>
        <rFont val="微軟正黑體"/>
        <family val="2"/>
        <charset val="136"/>
      </rPr>
      <t>級</t>
    </r>
  </si>
  <si>
    <r>
      <rPr>
        <b/>
        <sz val="12"/>
        <color theme="1"/>
        <rFont val="Calibri"/>
        <family val="2"/>
      </rPr>
      <t>7-10</t>
    </r>
    <r>
      <rPr>
        <b/>
        <sz val="12"/>
        <color theme="1"/>
        <rFont val="微軟正黑體"/>
        <family val="2"/>
        <charset val="136"/>
      </rPr>
      <t>級</t>
    </r>
  </si>
  <si>
    <r>
      <rPr>
        <b/>
        <sz val="12"/>
        <color theme="1"/>
        <rFont val="微軟正黑體"/>
        <family val="2"/>
        <charset val="136"/>
      </rPr>
      <t>一般手術</t>
    </r>
  </si>
  <si>
    <r>
      <rPr>
        <b/>
        <sz val="12"/>
        <color theme="1"/>
        <rFont val="微軟正黑體"/>
        <family val="2"/>
        <charset val="136"/>
      </rPr>
      <t>重大手術</t>
    </r>
  </si>
  <si>
    <t>一次給付</t>
  </si>
  <si>
    <t>治療給付</t>
  </si>
  <si>
    <r>
      <rPr>
        <sz val="12"/>
        <color theme="1"/>
        <rFont val="Calibri"/>
        <family val="2"/>
      </rPr>
      <t>XXX</t>
    </r>
    <r>
      <rPr>
        <sz val="12"/>
        <color theme="1"/>
        <rFont val="微軟正黑體"/>
        <family val="2"/>
        <charset val="136"/>
      </rPr>
      <t>人壽全方位終生壽險</t>
    </r>
  </si>
  <si>
    <r>
      <rPr>
        <sz val="12"/>
        <color theme="1"/>
        <rFont val="Calibri"/>
        <family val="2"/>
      </rPr>
      <t>XXX</t>
    </r>
    <r>
      <rPr>
        <sz val="12"/>
        <color theme="1"/>
        <rFont val="微軟正黑體"/>
        <family val="2"/>
        <charset val="136"/>
      </rPr>
      <t>人壽醫療實支實付</t>
    </r>
  </si>
  <si>
    <r>
      <rPr>
        <b/>
        <sz val="14"/>
        <color theme="1"/>
        <rFont val="微軟正黑體"/>
        <family val="2"/>
        <charset val="136"/>
      </rPr>
      <t>總額</t>
    </r>
  </si>
  <si>
    <t>達標指數</t>
    <phoneticPr fontId="1" type="noConversion"/>
  </si>
  <si>
    <t>貸款名稱</t>
    <phoneticPr fontId="1" type="noConversion"/>
  </si>
  <si>
    <t>聯邦信用卡(16.07%)</t>
  </si>
  <si>
    <t>星展信用卡(15.89%)</t>
  </si>
  <si>
    <t>中信信貸(14.78%)</t>
  </si>
  <si>
    <t>星展信貸(5.99%)</t>
  </si>
  <si>
    <t>整合</t>
    <phoneticPr fontId="1" type="noConversion"/>
  </si>
  <si>
    <t>貸款金額</t>
    <phoneticPr fontId="1" type="noConversion"/>
  </si>
  <si>
    <t>利率</t>
    <phoneticPr fontId="1" type="noConversion"/>
  </si>
  <si>
    <t>期數</t>
    <phoneticPr fontId="1" type="noConversion"/>
  </si>
  <si>
    <t>每期付款</t>
    <phoneticPr fontId="1" type="noConversion"/>
  </si>
  <si>
    <t>總餘額</t>
    <phoneticPr fontId="1" type="noConversion"/>
  </si>
  <si>
    <t>餘額</t>
    <phoneticPr fontId="1" type="noConversion"/>
  </si>
  <si>
    <t>已償本金</t>
    <phoneticPr fontId="1" type="noConversion"/>
  </si>
  <si>
    <t>已償利息</t>
    <phoneticPr fontId="1" type="noConversion"/>
  </si>
  <si>
    <t>夢想池</t>
    <phoneticPr fontId="1" type="noConversion"/>
  </si>
  <si>
    <t>政府規費</t>
    <phoneticPr fontId="1" type="noConversion"/>
  </si>
  <si>
    <t>政府規費</t>
    <phoneticPr fontId="29" type="noConversion"/>
  </si>
  <si>
    <t>其他</t>
    <phoneticPr fontId="1" type="noConversion"/>
  </si>
  <si>
    <t>醫療</t>
    <phoneticPr fontId="29" type="noConversion"/>
  </si>
  <si>
    <t xml:space="preserve"> Total </t>
    <phoneticPr fontId="29" type="noConversion"/>
  </si>
</sst>
</file>

<file path=xl/styles.xml><?xml version="1.0" encoding="utf-8"?>
<styleSheet xmlns="http://schemas.openxmlformats.org/spreadsheetml/2006/main">
  <numFmts count="15">
    <numFmt numFmtId="8" formatCode="&quot;$&quot;#,##0.00;[Red]\-&quot;$&quot;#,##0.00"/>
    <numFmt numFmtId="44" formatCode="_-&quot;$&quot;* #,##0.00_-;\-&quot;$&quot;* #,##0.00_-;_-&quot;$&quot;* &quot;-&quot;??_-;_-@_-"/>
    <numFmt numFmtId="43" formatCode="_-* #,##0.00_-;\-* #,##0.00_-;_-* &quot;-&quot;??_-;_-@_-"/>
    <numFmt numFmtId="176" formatCode="_(* #,##0_);_(* \(#,##0\);_(* &quot;-&quot;??_);_(@_)"/>
    <numFmt numFmtId="177" formatCode="#,##0_ "/>
    <numFmt numFmtId="178" formatCode="#,###&quot;萬元&quot;"/>
    <numFmt numFmtId="179" formatCode="#,###&quot;元&quot;"/>
    <numFmt numFmtId="180" formatCode="_-* #,##0_-;\-* #,##0_-;_-* &quot;-&quot;??_-;_-@_-"/>
    <numFmt numFmtId="181" formatCode="_-&quot;$&quot;* #,##0_-;\-&quot;$&quot;* #,##0_-;_-&quot;$&quot;* &quot;-&quot;??_-;_-@_-"/>
    <numFmt numFmtId="182" formatCode="&quot;NT$&quot;#,##0.00"/>
    <numFmt numFmtId="183" formatCode="_(* #,##0.00_);_(* \(#,##0.00\);_(* &quot;-&quot;??_);_(@_)"/>
    <numFmt numFmtId="184" formatCode="0.0%"/>
    <numFmt numFmtId="185" formatCode="_-[$$-404]* #,##0_-;\-[$$-404]* #,##0_-;_-[$$-404]* &quot;-&quot;??_-;_-@_-"/>
    <numFmt numFmtId="186" formatCode="0.000%"/>
    <numFmt numFmtId="187" formatCode="_-[$$-409]* #,##0_ ;_-[$$-409]* \-#,##0\ ;_-[$$-409]* &quot;-&quot;??_ ;_-@_ "/>
  </numFmts>
  <fonts count="40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9"/>
      <name val="新細明體"/>
      <family val="1"/>
      <charset val="136"/>
    </font>
    <font>
      <b/>
      <sz val="12"/>
      <color theme="1"/>
      <name val="微軟正黑體"/>
      <family val="2"/>
      <charset val="136"/>
    </font>
    <font>
      <sz val="12"/>
      <color theme="1"/>
      <name val="Microsoft JhengHei Light"/>
      <family val="2"/>
      <charset val="136"/>
    </font>
    <font>
      <b/>
      <sz val="12"/>
      <color theme="1"/>
      <name val="Microsoft JhengHei Light"/>
      <family val="2"/>
      <charset val="136"/>
    </font>
    <font>
      <sz val="12"/>
      <color theme="1"/>
      <name val="新細明體"/>
      <family val="2"/>
      <scheme val="minor"/>
    </font>
    <font>
      <b/>
      <sz val="16"/>
      <color theme="0"/>
      <name val="Calibri"/>
      <family val="2"/>
    </font>
    <font>
      <b/>
      <sz val="16"/>
      <color theme="0"/>
      <name val="微軟正黑體"/>
      <family val="2"/>
      <charset val="136"/>
    </font>
    <font>
      <b/>
      <sz val="14"/>
      <color theme="0"/>
      <name val="Calibri"/>
      <family val="2"/>
    </font>
    <font>
      <b/>
      <sz val="14"/>
      <color theme="0"/>
      <name val="微軟正黑體"/>
      <family val="2"/>
      <charset val="136"/>
    </font>
    <font>
      <sz val="12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4"/>
      <color theme="1"/>
      <name val="Calibri"/>
      <family val="2"/>
    </font>
    <font>
      <b/>
      <sz val="14"/>
      <color theme="1"/>
      <name val="微軟正黑體"/>
      <family val="2"/>
      <charset val="136"/>
    </font>
    <font>
      <b/>
      <sz val="16"/>
      <color theme="0"/>
      <name val="Microsoft JhengHei"/>
      <family val="2"/>
    </font>
    <font>
      <sz val="12"/>
      <color theme="1"/>
      <name val="新細明體"/>
      <family val="2"/>
      <charset val="136"/>
      <scheme val="minor"/>
    </font>
    <font>
      <sz val="12"/>
      <color rgb="FF000000"/>
      <name val="微軟正黑體"/>
      <family val="2"/>
      <charset val="136"/>
    </font>
    <font>
      <i/>
      <sz val="11"/>
      <color theme="1" tint="0.34998626667073579"/>
      <name val="Microsoft JhengHei UI"/>
      <family val="2"/>
    </font>
    <font>
      <sz val="11"/>
      <color theme="1" tint="0.24994659260841701"/>
      <name val="Microsoft JhengHei UI"/>
      <family val="2"/>
    </font>
    <font>
      <sz val="11"/>
      <name val="Microsoft JhengHei UI"/>
      <family val="2"/>
    </font>
    <font>
      <b/>
      <sz val="12"/>
      <color theme="1" tint="0.249977111117893"/>
      <name val="Microsoft JhengHei UI"/>
      <family val="2"/>
    </font>
    <font>
      <b/>
      <sz val="14"/>
      <color theme="1" tint="0.24994659260841701"/>
      <name val="Microsoft JhengHei UI"/>
      <family val="2"/>
    </font>
    <font>
      <b/>
      <sz val="11"/>
      <color theme="3"/>
      <name val="Microsoft JhengHei UI"/>
      <family val="2"/>
    </font>
    <font>
      <b/>
      <sz val="16"/>
      <color rgb="FF0070C0"/>
      <name val="Microsoft JhengHei UI"/>
      <family val="2"/>
    </font>
    <font>
      <b/>
      <sz val="16"/>
      <color theme="1"/>
      <name val="微軟正黑體"/>
      <family val="2"/>
      <charset val="136"/>
    </font>
    <font>
      <sz val="12"/>
      <color theme="1" tint="4.9989318521683403E-2"/>
      <name val="微軟正黑體"/>
      <family val="2"/>
      <charset val="136"/>
    </font>
    <font>
      <sz val="9"/>
      <name val="細明體"/>
      <family val="3"/>
      <charset val="136"/>
    </font>
    <font>
      <b/>
      <sz val="14"/>
      <color theme="1"/>
      <name val="Microsoft JhengHei Light"/>
      <family val="2"/>
      <charset val="136"/>
    </font>
    <font>
      <b/>
      <sz val="18"/>
      <color theme="1"/>
      <name val="Microsoft JhengHei Light"/>
      <family val="2"/>
      <charset val="136"/>
    </font>
    <font>
      <sz val="14"/>
      <color theme="1"/>
      <name val="Microsoft JhengHei Light"/>
      <family val="2"/>
      <charset val="136"/>
    </font>
    <font>
      <b/>
      <sz val="14"/>
      <color rgb="FFFFFFFF"/>
      <name val="Microsoft JhengHei Light"/>
      <family val="2"/>
      <charset val="136"/>
    </font>
    <font>
      <b/>
      <sz val="14"/>
      <color indexed="9"/>
      <name val="Microsoft JhengHei Light"/>
      <family val="2"/>
      <charset val="136"/>
    </font>
    <font>
      <sz val="14"/>
      <name val="Microsoft JhengHei Light"/>
      <family val="2"/>
      <charset val="136"/>
    </font>
    <font>
      <b/>
      <sz val="14"/>
      <name val="Microsoft JhengHei Light"/>
      <family val="2"/>
      <charset val="136"/>
    </font>
    <font>
      <b/>
      <sz val="14"/>
      <color theme="0"/>
      <name val="Microsoft JhengHei Light"/>
      <family val="2"/>
      <charset val="136"/>
    </font>
    <font>
      <sz val="14"/>
      <color theme="0"/>
      <name val="Microsoft JhengHei Light"/>
      <family val="2"/>
      <charset val="136"/>
    </font>
    <font>
      <sz val="12"/>
      <name val="新細明體"/>
      <family val="1"/>
      <charset val="136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2E75B5"/>
        <bgColor rgb="FF2E75B5"/>
      </patternFill>
    </fill>
    <fill>
      <patternFill patternType="solid">
        <fgColor rgb="FFDEEAF6"/>
        <bgColor rgb="FFDEEAF6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theme="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theme="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59999389629810485"/>
        <bgColor theme="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4" tint="-0.2499465926084170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5" tint="0.59999389629810485"/>
        <bgColor theme="4"/>
      </patternFill>
    </fill>
    <fill>
      <patternFill patternType="solid">
        <fgColor theme="5" tint="0.79998168889431442"/>
        <bgColor theme="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79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theme="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medium">
        <color theme="1"/>
      </top>
      <bottom style="thin">
        <color theme="1"/>
      </bottom>
      <diagonal/>
    </border>
    <border>
      <left style="thin">
        <color theme="0"/>
      </left>
      <right style="thin">
        <color theme="0"/>
      </right>
      <top/>
      <bottom style="thin">
        <color theme="1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1"/>
      </top>
      <bottom style="thin">
        <color theme="1"/>
      </bottom>
      <diagonal/>
    </border>
    <border>
      <left style="thin">
        <color theme="0"/>
      </left>
      <right style="thin">
        <color theme="0"/>
      </right>
      <top style="thin">
        <color theme="1"/>
      </top>
      <bottom style="medium">
        <color theme="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theme="1"/>
      </bottom>
      <diagonal/>
    </border>
    <border>
      <left/>
      <right style="thin">
        <color theme="0"/>
      </right>
      <top style="thin">
        <color theme="1"/>
      </top>
      <bottom style="thin">
        <color theme="1"/>
      </bottom>
      <diagonal/>
    </border>
    <border>
      <left style="thin">
        <color theme="0"/>
      </left>
      <right/>
      <top style="thin">
        <color theme="1"/>
      </top>
      <bottom style="thin">
        <color theme="1"/>
      </bottom>
      <diagonal/>
    </border>
    <border>
      <left/>
      <right style="thin">
        <color theme="0"/>
      </right>
      <top/>
      <bottom style="medium">
        <color theme="1"/>
      </bottom>
      <diagonal/>
    </border>
    <border>
      <left style="thin">
        <color theme="0"/>
      </left>
      <right style="thin">
        <color theme="0"/>
      </right>
      <top/>
      <bottom style="medium">
        <color theme="1"/>
      </bottom>
      <diagonal/>
    </border>
    <border>
      <left style="thin">
        <color theme="0"/>
      </left>
      <right/>
      <top/>
      <bottom style="medium">
        <color theme="1"/>
      </bottom>
      <diagonal/>
    </border>
    <border>
      <left/>
      <right style="thin">
        <color theme="0"/>
      </right>
      <top style="thin">
        <color theme="1"/>
      </top>
      <bottom/>
      <diagonal/>
    </border>
    <border>
      <left style="thin">
        <color theme="0"/>
      </left>
      <right style="thin">
        <color theme="0"/>
      </right>
      <top style="thin">
        <color theme="1"/>
      </top>
      <bottom/>
      <diagonal/>
    </border>
    <border>
      <left style="thin">
        <color theme="0"/>
      </left>
      <right/>
      <top style="thin">
        <color theme="1"/>
      </top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theme="0"/>
      </right>
      <top style="thin">
        <color theme="1"/>
      </top>
      <bottom style="medium">
        <color theme="0"/>
      </bottom>
      <diagonal/>
    </border>
    <border>
      <left style="thin">
        <color theme="0"/>
      </left>
      <right/>
      <top style="thin">
        <color theme="1"/>
      </top>
      <bottom style="medium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0"/>
      </bottom>
      <diagonal/>
    </border>
    <border>
      <left style="thin">
        <color theme="1"/>
      </left>
      <right style="thin">
        <color theme="1"/>
      </right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theme="1"/>
      </right>
      <top style="thin">
        <color theme="0"/>
      </top>
      <bottom style="thin">
        <color theme="1"/>
      </bottom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/>
      <right/>
      <top style="thin">
        <color theme="0"/>
      </top>
      <bottom style="medium">
        <color theme="1"/>
      </bottom>
      <diagonal/>
    </border>
    <border>
      <left/>
      <right style="thin">
        <color theme="0"/>
      </right>
      <top style="thin">
        <color theme="0"/>
      </top>
      <bottom style="medium">
        <color theme="1"/>
      </bottom>
      <diagonal/>
    </border>
    <border>
      <left style="thin">
        <color theme="0"/>
      </left>
      <right/>
      <top style="medium">
        <color theme="1"/>
      </top>
      <bottom style="thin">
        <color theme="1"/>
      </bottom>
      <diagonal/>
    </border>
    <border>
      <left style="thin">
        <color theme="0"/>
      </left>
      <right style="thin">
        <color theme="0"/>
      </right>
      <top style="thin">
        <color theme="1"/>
      </top>
      <bottom style="thin">
        <color indexed="64"/>
      </bottom>
      <diagonal/>
    </border>
    <border>
      <left style="thin">
        <color theme="0"/>
      </left>
      <right/>
      <top style="thin">
        <color theme="1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8" tint="0.39997558519241921"/>
      </top>
      <bottom style="thin">
        <color theme="1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/>
      <bottom style="medium">
        <color theme="4" tint="-0.499984740745262"/>
      </bottom>
      <diagonal/>
    </border>
    <border>
      <left/>
      <right/>
      <top style="thin">
        <color theme="4" tint="-0.499984740745262"/>
      </top>
      <bottom style="thin">
        <color theme="4" tint="-0.499984740745262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14996795556505021"/>
      </left>
      <right/>
      <top style="thin">
        <color theme="0" tint="-0.24994659260841701"/>
      </top>
      <bottom/>
      <diagonal/>
    </border>
    <border>
      <left/>
      <right/>
      <top style="double">
        <color theme="6"/>
      </top>
      <bottom/>
      <diagonal/>
    </border>
    <border>
      <left/>
      <right/>
      <top style="double">
        <color theme="4"/>
      </top>
      <bottom/>
      <diagonal/>
    </border>
    <border>
      <left style="medium">
        <color auto="1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auto="1"/>
      </right>
      <top style="thin">
        <color indexed="64"/>
      </top>
      <bottom style="medium">
        <color indexed="64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thin">
        <color theme="1"/>
      </right>
      <top style="thin">
        <color theme="0"/>
      </top>
      <bottom style="medium">
        <color indexed="64"/>
      </bottom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1499679555650502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double">
        <color theme="6"/>
      </bottom>
      <diagonal/>
    </border>
    <border>
      <left/>
      <right style="thin">
        <color theme="0" tint="-0.14996795556505021"/>
      </right>
      <top style="thin">
        <color theme="0" tint="-0.24994659260841701"/>
      </top>
      <bottom style="double">
        <color theme="6"/>
      </bottom>
      <diagonal/>
    </border>
    <border>
      <left/>
      <right style="thin">
        <color theme="0" tint="-0.14996795556505021"/>
      </right>
      <top style="thin">
        <color theme="0" tint="-0.24994659260841701"/>
      </top>
      <bottom/>
      <diagonal/>
    </border>
    <border>
      <left/>
      <right style="thin">
        <color theme="0" tint="-0.14996795556505021"/>
      </right>
      <top/>
      <bottom style="thin">
        <color theme="0" tint="-0.2499465926084170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2499465926084170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24994659260841701"/>
      </bottom>
      <diagonal/>
    </border>
    <border>
      <left style="thin">
        <color theme="0" tint="-0.14996795556505021"/>
      </left>
      <right/>
      <top/>
      <bottom style="thin">
        <color theme="0" tint="-0.24994659260841701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theme="0" tint="-0.24994659260841701"/>
      </top>
      <bottom style="double">
        <color indexed="64"/>
      </bottom>
      <diagonal/>
    </border>
    <border>
      <left style="thin">
        <color theme="0" tint="-0.14996795556505021"/>
      </left>
      <right/>
      <top style="thin">
        <color theme="0" tint="-0.24994659260841701"/>
      </top>
      <bottom style="double">
        <color indexed="64"/>
      </bottom>
      <diagonal/>
    </border>
    <border>
      <left/>
      <right/>
      <top style="double">
        <color theme="6"/>
      </top>
      <bottom style="thin">
        <color theme="0" tint="-0.24994659260841701"/>
      </bottom>
      <diagonal/>
    </border>
  </borders>
  <cellStyleXfs count="21">
    <xf numFmtId="0" fontId="0" fillId="0" borderId="0">
      <alignment vertical="center"/>
    </xf>
    <xf numFmtId="0" fontId="7" fillId="0" borderId="0"/>
    <xf numFmtId="44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182" fontId="21" fillId="21" borderId="0" applyFont="0" applyFill="0" applyBorder="0" applyAlignment="0" applyProtection="0"/>
    <xf numFmtId="1" fontId="21" fillId="20" borderId="0" applyFont="0" applyFill="0" applyBorder="0" applyAlignment="0"/>
    <xf numFmtId="14" fontId="21" fillId="0" borderId="0" applyFont="0" applyFill="0" applyBorder="0" applyAlignment="0"/>
    <xf numFmtId="0" fontId="23" fillId="2" borderId="0" applyFill="0" applyProtection="0">
      <alignment horizontal="center" vertical="center" wrapText="1"/>
    </xf>
    <xf numFmtId="182" fontId="21" fillId="21" borderId="0" applyFont="0" applyFill="0" applyBorder="0" applyProtection="0">
      <alignment horizontal="right" indent="2"/>
    </xf>
    <xf numFmtId="0" fontId="21" fillId="20" borderId="0" applyNumberFormat="0" applyFont="0" applyAlignment="0">
      <alignment horizontal="center" vertical="center" wrapText="1"/>
    </xf>
    <xf numFmtId="0" fontId="22" fillId="0" borderId="0"/>
    <xf numFmtId="0" fontId="25" fillId="0" borderId="44" applyNumberFormat="0" applyFill="0" applyProtection="0">
      <alignment vertical="center"/>
    </xf>
    <xf numFmtId="0" fontId="20" fillId="0" borderId="42" applyNumberFormat="0" applyProtection="0">
      <alignment vertical="center"/>
    </xf>
    <xf numFmtId="10" fontId="22" fillId="0" borderId="0" applyFont="0" applyFill="0" applyBorder="0" applyAlignment="0" applyProtection="0"/>
    <xf numFmtId="0" fontId="24" fillId="0" borderId="43" applyNumberFormat="0" applyFill="0" applyProtection="0">
      <alignment vertical="center"/>
    </xf>
    <xf numFmtId="0" fontId="26" fillId="22" borderId="0" applyFill="0" applyBorder="0" applyProtection="0">
      <alignment horizontal="left" vertical="center" wrapText="1" indent="1"/>
    </xf>
    <xf numFmtId="43" fontId="18" fillId="0" borderId="0" applyFont="0" applyFill="0" applyBorder="0" applyAlignment="0" applyProtection="0">
      <alignment vertical="center"/>
    </xf>
    <xf numFmtId="0" fontId="39" fillId="0" borderId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>
      <alignment vertical="center"/>
    </xf>
    <xf numFmtId="0" fontId="18" fillId="0" borderId="0">
      <alignment vertical="center"/>
    </xf>
  </cellStyleXfs>
  <cellXfs count="353">
    <xf numFmtId="0" fontId="0" fillId="0" borderId="0" xfId="0">
      <alignment vertical="center"/>
    </xf>
    <xf numFmtId="0" fontId="5" fillId="0" borderId="1" xfId="0" applyFont="1" applyBorder="1">
      <alignment vertical="center"/>
    </xf>
    <xf numFmtId="0" fontId="5" fillId="0" borderId="2" xfId="0" applyFont="1" applyBorder="1">
      <alignment vertical="center"/>
    </xf>
    <xf numFmtId="0" fontId="5" fillId="0" borderId="6" xfId="0" applyFont="1" applyBorder="1">
      <alignment vertical="center"/>
    </xf>
    <xf numFmtId="0" fontId="2" fillId="0" borderId="0" xfId="0" applyFo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5" xfId="0" applyFont="1" applyBorder="1">
      <alignment vertical="center"/>
    </xf>
    <xf numFmtId="0" fontId="5" fillId="0" borderId="4" xfId="0" applyFont="1" applyBorder="1">
      <alignment vertical="center"/>
    </xf>
    <xf numFmtId="0" fontId="5" fillId="0" borderId="10" xfId="0" applyFont="1" applyBorder="1">
      <alignment vertical="center"/>
    </xf>
    <xf numFmtId="0" fontId="19" fillId="0" borderId="0" xfId="0" applyFont="1" applyAlignment="1"/>
    <xf numFmtId="14" fontId="19" fillId="0" borderId="0" xfId="0" applyNumberFormat="1" applyFont="1" applyAlignment="1"/>
    <xf numFmtId="20" fontId="19" fillId="0" borderId="0" xfId="0" applyNumberFormat="1" applyFont="1" applyAlignment="1"/>
    <xf numFmtId="0" fontId="5" fillId="15" borderId="8" xfId="0" applyFont="1" applyFill="1" applyBorder="1">
      <alignment vertical="center"/>
    </xf>
    <xf numFmtId="0" fontId="5" fillId="15" borderId="9" xfId="0" applyFont="1" applyFill="1" applyBorder="1">
      <alignment vertical="center"/>
    </xf>
    <xf numFmtId="0" fontId="5" fillId="7" borderId="8" xfId="0" applyFont="1" applyFill="1" applyBorder="1">
      <alignment vertical="center"/>
    </xf>
    <xf numFmtId="0" fontId="5" fillId="7" borderId="9" xfId="0" applyFont="1" applyFill="1" applyBorder="1">
      <alignment vertical="center"/>
    </xf>
    <xf numFmtId="0" fontId="5" fillId="4" borderId="8" xfId="0" applyFont="1" applyFill="1" applyBorder="1">
      <alignment vertical="center"/>
    </xf>
    <xf numFmtId="0" fontId="5" fillId="4" borderId="9" xfId="0" applyFont="1" applyFill="1" applyBorder="1">
      <alignment vertical="center"/>
    </xf>
    <xf numFmtId="0" fontId="5" fillId="5" borderId="8" xfId="0" applyFont="1" applyFill="1" applyBorder="1">
      <alignment vertical="center"/>
    </xf>
    <xf numFmtId="0" fontId="5" fillId="5" borderId="9" xfId="0" applyFont="1" applyFill="1" applyBorder="1">
      <alignment vertical="center"/>
    </xf>
    <xf numFmtId="0" fontId="5" fillId="0" borderId="4" xfId="0" applyFont="1" applyBorder="1" applyAlignment="1">
      <alignment horizontal="center" vertical="center"/>
    </xf>
    <xf numFmtId="0" fontId="5" fillId="15" borderId="8" xfId="0" applyFont="1" applyFill="1" applyBorder="1" applyAlignment="1">
      <alignment horizontal="center" vertical="center"/>
    </xf>
    <xf numFmtId="0" fontId="5" fillId="15" borderId="9" xfId="0" applyFont="1" applyFill="1" applyBorder="1" applyAlignment="1">
      <alignment horizontal="center" vertical="center"/>
    </xf>
    <xf numFmtId="0" fontId="5" fillId="7" borderId="8" xfId="0" applyFont="1" applyFill="1" applyBorder="1" applyAlignment="1">
      <alignment horizontal="center" vertical="center"/>
    </xf>
    <xf numFmtId="0" fontId="5" fillId="7" borderId="9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5" fillId="15" borderId="8" xfId="0" applyFont="1" applyFill="1" applyBorder="1" applyAlignment="1">
      <alignment horizontal="right" vertical="center"/>
    </xf>
    <xf numFmtId="0" fontId="5" fillId="15" borderId="9" xfId="0" applyFont="1" applyFill="1" applyBorder="1" applyAlignment="1">
      <alignment horizontal="right" vertical="center"/>
    </xf>
    <xf numFmtId="0" fontId="5" fillId="7" borderId="8" xfId="0" applyFont="1" applyFill="1" applyBorder="1" applyAlignment="1">
      <alignment horizontal="right" vertical="center"/>
    </xf>
    <xf numFmtId="0" fontId="5" fillId="7" borderId="9" xfId="0" applyFont="1" applyFill="1" applyBorder="1" applyAlignment="1">
      <alignment horizontal="right" vertical="center"/>
    </xf>
    <xf numFmtId="0" fontId="5" fillId="4" borderId="8" xfId="0" applyFont="1" applyFill="1" applyBorder="1" applyAlignment="1">
      <alignment horizontal="right" vertical="center"/>
    </xf>
    <xf numFmtId="0" fontId="5" fillId="4" borderId="9" xfId="0" applyFont="1" applyFill="1" applyBorder="1" applyAlignment="1">
      <alignment horizontal="right" vertical="center"/>
    </xf>
    <xf numFmtId="0" fontId="5" fillId="5" borderId="8" xfId="0" applyFont="1" applyFill="1" applyBorder="1" applyAlignment="1">
      <alignment horizontal="right" vertical="center"/>
    </xf>
    <xf numFmtId="0" fontId="5" fillId="5" borderId="9" xfId="0" applyFont="1" applyFill="1" applyBorder="1" applyAlignment="1">
      <alignment horizontal="right" vertical="center"/>
    </xf>
    <xf numFmtId="181" fontId="5" fillId="15" borderId="8" xfId="2" applyNumberFormat="1" applyFont="1" applyFill="1" applyBorder="1" applyAlignment="1">
      <alignment horizontal="right" vertical="center"/>
    </xf>
    <xf numFmtId="181" fontId="5" fillId="15" borderId="9" xfId="2" applyNumberFormat="1" applyFont="1" applyFill="1" applyBorder="1">
      <alignment vertical="center"/>
    </xf>
    <xf numFmtId="181" fontId="5" fillId="7" borderId="8" xfId="2" applyNumberFormat="1" applyFont="1" applyFill="1" applyBorder="1">
      <alignment vertical="center"/>
    </xf>
    <xf numFmtId="181" fontId="5" fillId="7" borderId="9" xfId="2" applyNumberFormat="1" applyFont="1" applyFill="1" applyBorder="1">
      <alignment vertical="center"/>
    </xf>
    <xf numFmtId="181" fontId="5" fillId="4" borderId="8" xfId="2" applyNumberFormat="1" applyFont="1" applyFill="1" applyBorder="1">
      <alignment vertical="center"/>
    </xf>
    <xf numFmtId="181" fontId="5" fillId="4" borderId="9" xfId="2" applyNumberFormat="1" applyFont="1" applyFill="1" applyBorder="1">
      <alignment vertical="center"/>
    </xf>
    <xf numFmtId="181" fontId="5" fillId="5" borderId="8" xfId="2" applyNumberFormat="1" applyFont="1" applyFill="1" applyBorder="1">
      <alignment vertical="center"/>
    </xf>
    <xf numFmtId="181" fontId="5" fillId="5" borderId="9" xfId="2" applyNumberFormat="1" applyFont="1" applyFill="1" applyBorder="1">
      <alignment vertical="center"/>
    </xf>
    <xf numFmtId="181" fontId="5" fillId="15" borderId="8" xfId="2" applyNumberFormat="1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6" fillId="0" borderId="1" xfId="0" applyFont="1" applyBorder="1">
      <alignment vertical="center"/>
    </xf>
    <xf numFmtId="0" fontId="6" fillId="0" borderId="5" xfId="0" applyFont="1" applyBorder="1">
      <alignment vertical="center"/>
    </xf>
    <xf numFmtId="0" fontId="6" fillId="0" borderId="5" xfId="0" applyFont="1" applyBorder="1" applyAlignment="1">
      <alignment horizontal="center" vertical="center"/>
    </xf>
    <xf numFmtId="0" fontId="6" fillId="0" borderId="3" xfId="0" applyFont="1" applyBorder="1">
      <alignment vertical="center"/>
    </xf>
    <xf numFmtId="0" fontId="6" fillId="10" borderId="3" xfId="0" applyFont="1" applyFill="1" applyBorder="1">
      <alignment vertical="center"/>
    </xf>
    <xf numFmtId="0" fontId="6" fillId="0" borderId="6" xfId="0" applyFont="1" applyBorder="1">
      <alignment vertical="center"/>
    </xf>
    <xf numFmtId="0" fontId="6" fillId="0" borderId="10" xfId="0" applyFont="1" applyBorder="1">
      <alignment vertical="center"/>
    </xf>
    <xf numFmtId="181" fontId="5" fillId="15" borderId="12" xfId="2" applyNumberFormat="1" applyFont="1" applyFill="1" applyBorder="1">
      <alignment vertical="center"/>
    </xf>
    <xf numFmtId="181" fontId="5" fillId="7" borderId="12" xfId="2" applyNumberFormat="1" applyFont="1" applyFill="1" applyBorder="1">
      <alignment vertical="center"/>
    </xf>
    <xf numFmtId="181" fontId="5" fillId="4" borderId="12" xfId="2" applyNumberFormat="1" applyFont="1" applyFill="1" applyBorder="1">
      <alignment vertical="center"/>
    </xf>
    <xf numFmtId="0" fontId="5" fillId="0" borderId="2" xfId="0" applyFont="1" applyBorder="1" applyAlignment="1">
      <alignment horizontal="center" vertical="center"/>
    </xf>
    <xf numFmtId="0" fontId="5" fillId="5" borderId="12" xfId="0" applyFont="1" applyFill="1" applyBorder="1">
      <alignment vertical="center"/>
    </xf>
    <xf numFmtId="0" fontId="5" fillId="5" borderId="12" xfId="0" applyFont="1" applyFill="1" applyBorder="1" applyAlignment="1">
      <alignment horizontal="right" vertical="center"/>
    </xf>
    <xf numFmtId="0" fontId="5" fillId="5" borderId="12" xfId="0" applyFont="1" applyFill="1" applyBorder="1" applyAlignment="1">
      <alignment horizontal="center" vertical="center"/>
    </xf>
    <xf numFmtId="181" fontId="5" fillId="5" borderId="12" xfId="2" applyNumberFormat="1" applyFont="1" applyFill="1" applyBorder="1">
      <alignment vertical="center"/>
    </xf>
    <xf numFmtId="0" fontId="5" fillId="7" borderId="32" xfId="0" applyFont="1" applyFill="1" applyBorder="1">
      <alignment vertical="center"/>
    </xf>
    <xf numFmtId="0" fontId="5" fillId="2" borderId="32" xfId="0" applyFont="1" applyFill="1" applyBorder="1">
      <alignment vertical="center"/>
    </xf>
    <xf numFmtId="0" fontId="5" fillId="0" borderId="32" xfId="0" applyFont="1" applyBorder="1">
      <alignment vertical="center"/>
    </xf>
    <xf numFmtId="0" fontId="5" fillId="0" borderId="33" xfId="0" applyFont="1" applyBorder="1">
      <alignment vertical="center"/>
    </xf>
    <xf numFmtId="0" fontId="0" fillId="0" borderId="1" xfId="0" applyBorder="1">
      <alignment vertical="center"/>
    </xf>
    <xf numFmtId="0" fontId="13" fillId="9" borderId="1" xfId="0" applyFont="1" applyFill="1" applyBorder="1" applyAlignment="1">
      <alignment horizontal="center" vertical="center"/>
    </xf>
    <xf numFmtId="176" fontId="14" fillId="0" borderId="1" xfId="0" applyNumberFormat="1" applyFont="1" applyBorder="1" applyAlignment="1">
      <alignment horizontal="center" vertical="center"/>
    </xf>
    <xf numFmtId="0" fontId="14" fillId="0" borderId="1" xfId="0" applyFont="1" applyBorder="1">
      <alignment vertical="center"/>
    </xf>
    <xf numFmtId="177" fontId="14" fillId="0" borderId="1" xfId="0" applyNumberFormat="1" applyFont="1" applyBorder="1" applyAlignment="1">
      <alignment horizontal="right" vertical="center"/>
    </xf>
    <xf numFmtId="176" fontId="14" fillId="0" borderId="1" xfId="0" applyNumberFormat="1" applyFont="1" applyBorder="1">
      <alignment vertical="center"/>
    </xf>
    <xf numFmtId="0" fontId="15" fillId="0" borderId="1" xfId="0" applyFont="1" applyBorder="1" applyAlignment="1">
      <alignment horizontal="center" vertical="center"/>
    </xf>
    <xf numFmtId="178" fontId="14" fillId="0" borderId="1" xfId="0" applyNumberFormat="1" applyFont="1" applyBorder="1">
      <alignment vertical="center"/>
    </xf>
    <xf numFmtId="179" fontId="14" fillId="0" borderId="1" xfId="0" applyNumberFormat="1" applyFont="1" applyBorder="1">
      <alignment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2" fillId="2" borderId="0" xfId="0" applyFont="1" applyFill="1">
      <alignment vertical="center"/>
    </xf>
    <xf numFmtId="0" fontId="27" fillId="10" borderId="0" xfId="0" applyFont="1" applyFill="1" applyAlignment="1">
      <alignment horizontal="center" vertical="center"/>
    </xf>
    <xf numFmtId="0" fontId="16" fillId="13" borderId="0" xfId="0" applyFont="1" applyFill="1" applyAlignment="1">
      <alignment horizontal="center" vertical="center"/>
    </xf>
    <xf numFmtId="14" fontId="2" fillId="2" borderId="0" xfId="0" applyNumberFormat="1" applyFont="1" applyFill="1">
      <alignment vertical="center"/>
    </xf>
    <xf numFmtId="180" fontId="2" fillId="2" borderId="0" xfId="0" applyNumberFormat="1" applyFont="1" applyFill="1">
      <alignment vertical="center"/>
    </xf>
    <xf numFmtId="0" fontId="2" fillId="18" borderId="25" xfId="0" applyFont="1" applyFill="1" applyBorder="1" applyAlignment="1">
      <alignment horizontal="left" vertical="center"/>
    </xf>
    <xf numFmtId="0" fontId="2" fillId="19" borderId="0" xfId="0" applyFont="1" applyFill="1">
      <alignment vertical="center"/>
    </xf>
    <xf numFmtId="180" fontId="2" fillId="19" borderId="0" xfId="0" applyNumberFormat="1" applyFont="1" applyFill="1">
      <alignment vertical="center"/>
    </xf>
    <xf numFmtId="0" fontId="2" fillId="18" borderId="25" xfId="0" applyFont="1" applyFill="1" applyBorder="1" applyAlignment="1">
      <alignment horizontal="center" vertical="center"/>
    </xf>
    <xf numFmtId="0" fontId="2" fillId="18" borderId="0" xfId="0" applyFont="1" applyFill="1" applyAlignment="1">
      <alignment horizontal="center" vertical="center"/>
    </xf>
    <xf numFmtId="0" fontId="2" fillId="11" borderId="25" xfId="0" applyFont="1" applyFill="1" applyBorder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180" fontId="2" fillId="18" borderId="0" xfId="0" applyNumberFormat="1" applyFont="1" applyFill="1">
      <alignment vertical="center"/>
    </xf>
    <xf numFmtId="0" fontId="2" fillId="18" borderId="26" xfId="0" applyFont="1" applyFill="1" applyBorder="1">
      <alignment vertical="center"/>
    </xf>
    <xf numFmtId="0" fontId="2" fillId="18" borderId="0" xfId="0" applyFont="1" applyFill="1">
      <alignment vertical="center"/>
    </xf>
    <xf numFmtId="0" fontId="27" fillId="12" borderId="0" xfId="0" applyFont="1" applyFill="1" applyAlignment="1">
      <alignment vertical="center" textRotation="255"/>
    </xf>
    <xf numFmtId="0" fontId="4" fillId="12" borderId="0" xfId="0" applyFont="1" applyFill="1" applyAlignment="1">
      <alignment horizontal="center" vertical="center" textRotation="255"/>
    </xf>
    <xf numFmtId="0" fontId="2" fillId="12" borderId="25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180" fontId="2" fillId="2" borderId="0" xfId="0" applyNumberFormat="1" applyFont="1" applyFill="1" applyAlignment="1">
      <alignment horizontal="center" vertical="center"/>
    </xf>
    <xf numFmtId="0" fontId="2" fillId="2" borderId="25" xfId="0" applyFont="1" applyFill="1" applyBorder="1" applyAlignment="1">
      <alignment horizontal="left" vertical="center"/>
    </xf>
    <xf numFmtId="0" fontId="2" fillId="2" borderId="27" xfId="0" applyFont="1" applyFill="1" applyBorder="1">
      <alignment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8" xfId="0" applyFont="1" applyFill="1" applyBorder="1">
      <alignment vertical="center"/>
    </xf>
    <xf numFmtId="0" fontId="2" fillId="2" borderId="11" xfId="0" applyFont="1" applyFill="1" applyBorder="1">
      <alignment vertical="center"/>
    </xf>
    <xf numFmtId="0" fontId="2" fillId="2" borderId="26" xfId="0" applyFont="1" applyFill="1" applyBorder="1">
      <alignment vertical="center"/>
    </xf>
    <xf numFmtId="0" fontId="2" fillId="14" borderId="25" xfId="0" applyFont="1" applyFill="1" applyBorder="1" applyAlignment="1">
      <alignment horizontal="left" vertical="center"/>
    </xf>
    <xf numFmtId="0" fontId="27" fillId="3" borderId="13" xfId="0" applyFont="1" applyFill="1" applyBorder="1">
      <alignment vertical="center"/>
    </xf>
    <xf numFmtId="0" fontId="27" fillId="3" borderId="4" xfId="0" applyFont="1" applyFill="1" applyBorder="1">
      <alignment vertical="center"/>
    </xf>
    <xf numFmtId="0" fontId="2" fillId="0" borderId="1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19" xfId="0" applyFont="1" applyBorder="1">
      <alignment vertical="center"/>
    </xf>
    <xf numFmtId="0" fontId="2" fillId="0" borderId="20" xfId="0" applyFont="1" applyBorder="1">
      <alignment vertical="center"/>
    </xf>
    <xf numFmtId="0" fontId="2" fillId="0" borderId="21" xfId="0" applyFont="1" applyBorder="1">
      <alignment vertical="center"/>
    </xf>
    <xf numFmtId="0" fontId="2" fillId="17" borderId="1" xfId="0" applyFont="1" applyFill="1" applyBorder="1">
      <alignment vertical="center"/>
    </xf>
    <xf numFmtId="44" fontId="2" fillId="2" borderId="1" xfId="2" applyFont="1" applyFill="1" applyBorder="1">
      <alignment vertical="center"/>
    </xf>
    <xf numFmtId="0" fontId="2" fillId="0" borderId="8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7" xfId="0" applyFont="1" applyBorder="1">
      <alignment vertical="center"/>
    </xf>
    <xf numFmtId="0" fontId="2" fillId="2" borderId="1" xfId="0" applyFont="1" applyFill="1" applyBorder="1">
      <alignment vertical="center"/>
    </xf>
    <xf numFmtId="0" fontId="2" fillId="0" borderId="12" xfId="0" applyFont="1" applyBorder="1">
      <alignment vertical="center"/>
    </xf>
    <xf numFmtId="0" fontId="2" fillId="0" borderId="22" xfId="0" applyFont="1" applyBorder="1">
      <alignment vertical="center"/>
    </xf>
    <xf numFmtId="0" fontId="2" fillId="0" borderId="23" xfId="0" applyFont="1" applyBorder="1">
      <alignment vertical="center"/>
    </xf>
    <xf numFmtId="0" fontId="2" fillId="0" borderId="24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9" xfId="0" applyFont="1" applyBorder="1">
      <alignment vertical="center"/>
    </xf>
    <xf numFmtId="0" fontId="27" fillId="4" borderId="14" xfId="0" applyFont="1" applyFill="1" applyBorder="1">
      <alignment vertical="center"/>
    </xf>
    <xf numFmtId="0" fontId="27" fillId="4" borderId="15" xfId="0" applyFont="1" applyFill="1" applyBorder="1">
      <alignment vertical="center"/>
    </xf>
    <xf numFmtId="0" fontId="28" fillId="2" borderId="19" xfId="0" applyFont="1" applyFill="1" applyBorder="1">
      <alignment vertical="center"/>
    </xf>
    <xf numFmtId="0" fontId="28" fillId="2" borderId="20" xfId="0" applyFont="1" applyFill="1" applyBorder="1">
      <alignment vertical="center"/>
    </xf>
    <xf numFmtId="0" fontId="28" fillId="2" borderId="21" xfId="0" applyFont="1" applyFill="1" applyBorder="1">
      <alignment vertical="center"/>
    </xf>
    <xf numFmtId="0" fontId="28" fillId="2" borderId="36" xfId="0" applyFont="1" applyFill="1" applyBorder="1">
      <alignment vertical="center"/>
    </xf>
    <xf numFmtId="0" fontId="28" fillId="2" borderId="37" xfId="0" applyFont="1" applyFill="1" applyBorder="1">
      <alignment vertical="center"/>
    </xf>
    <xf numFmtId="0" fontId="2" fillId="2" borderId="38" xfId="0" applyFont="1" applyFill="1" applyBorder="1">
      <alignment vertical="center"/>
    </xf>
    <xf numFmtId="0" fontId="2" fillId="2" borderId="16" xfId="0" applyFont="1" applyFill="1" applyBorder="1">
      <alignment vertical="center"/>
    </xf>
    <xf numFmtId="0" fontId="2" fillId="2" borderId="18" xfId="0" applyFont="1" applyFill="1" applyBorder="1">
      <alignment vertical="center"/>
    </xf>
    <xf numFmtId="0" fontId="2" fillId="2" borderId="17" xfId="0" applyFont="1" applyFill="1" applyBorder="1">
      <alignment vertical="center"/>
    </xf>
    <xf numFmtId="0" fontId="2" fillId="2" borderId="29" xfId="0" applyFont="1" applyFill="1" applyBorder="1">
      <alignment vertical="center"/>
    </xf>
    <xf numFmtId="0" fontId="2" fillId="2" borderId="30" xfId="0" applyFont="1" applyFill="1" applyBorder="1">
      <alignment vertical="center"/>
    </xf>
    <xf numFmtId="0" fontId="2" fillId="2" borderId="39" xfId="0" applyFont="1" applyFill="1" applyBorder="1">
      <alignment vertical="center"/>
    </xf>
    <xf numFmtId="0" fontId="2" fillId="2" borderId="35" xfId="0" applyFont="1" applyFill="1" applyBorder="1">
      <alignment vertical="center"/>
    </xf>
    <xf numFmtId="0" fontId="2" fillId="2" borderId="7" xfId="0" applyFont="1" applyFill="1" applyBorder="1">
      <alignment vertical="center"/>
    </xf>
    <xf numFmtId="0" fontId="2" fillId="2" borderId="34" xfId="0" applyFont="1" applyFill="1" applyBorder="1">
      <alignment vertical="center"/>
    </xf>
    <xf numFmtId="0" fontId="5" fillId="0" borderId="0" xfId="0" applyFont="1">
      <alignment vertical="center"/>
    </xf>
    <xf numFmtId="0" fontId="32" fillId="0" borderId="0" xfId="0" applyFont="1">
      <alignment vertical="center"/>
    </xf>
    <xf numFmtId="0" fontId="34" fillId="24" borderId="28" xfId="0" applyFont="1" applyFill="1" applyBorder="1" applyAlignment="1">
      <alignment horizontal="center" vertical="center"/>
    </xf>
    <xf numFmtId="0" fontId="34" fillId="26" borderId="28" xfId="0" applyFont="1" applyFill="1" applyBorder="1" applyAlignment="1">
      <alignment horizontal="center" vertical="center"/>
    </xf>
    <xf numFmtId="0" fontId="34" fillId="26" borderId="46" xfId="0" applyFont="1" applyFill="1" applyBorder="1" applyAlignment="1">
      <alignment horizontal="center" vertical="center"/>
    </xf>
    <xf numFmtId="3" fontId="35" fillId="10" borderId="48" xfId="0" applyNumberFormat="1" applyFont="1" applyFill="1" applyBorder="1">
      <alignment vertical="center"/>
    </xf>
    <xf numFmtId="183" fontId="37" fillId="27" borderId="49" xfId="0" applyNumberFormat="1" applyFont="1" applyFill="1" applyBorder="1" applyAlignment="1">
      <alignment horizontal="center" vertical="center"/>
    </xf>
    <xf numFmtId="3" fontId="32" fillId="0" borderId="51" xfId="16" applyNumberFormat="1" applyFont="1" applyBorder="1" applyAlignment="1">
      <alignment vertical="center"/>
    </xf>
    <xf numFmtId="3" fontId="32" fillId="25" borderId="51" xfId="0" applyNumberFormat="1" applyFont="1" applyFill="1" applyBorder="1">
      <alignment vertical="center"/>
    </xf>
    <xf numFmtId="0" fontId="30" fillId="25" borderId="52" xfId="0" applyFont="1" applyFill="1" applyBorder="1" applyAlignment="1">
      <alignment horizontal="right" shrinkToFit="1"/>
    </xf>
    <xf numFmtId="3" fontId="32" fillId="25" borderId="52" xfId="0" applyNumberFormat="1" applyFont="1" applyFill="1" applyBorder="1" applyAlignment="1"/>
    <xf numFmtId="0" fontId="35" fillId="0" borderId="0" xfId="0" applyFont="1" applyAlignment="1">
      <alignment vertical="center" shrinkToFit="1"/>
    </xf>
    <xf numFmtId="3" fontId="35" fillId="0" borderId="0" xfId="0" applyNumberFormat="1" applyFont="1">
      <alignment vertical="center"/>
    </xf>
    <xf numFmtId="183" fontId="37" fillId="28" borderId="49" xfId="0" applyNumberFormat="1" applyFont="1" applyFill="1" applyBorder="1" applyAlignment="1">
      <alignment horizontal="center" vertical="center"/>
    </xf>
    <xf numFmtId="3" fontId="32" fillId="25" borderId="53" xfId="0" applyNumberFormat="1" applyFont="1" applyFill="1" applyBorder="1" applyAlignment="1"/>
    <xf numFmtId="184" fontId="35" fillId="29" borderId="0" xfId="3" applyNumberFormat="1" applyFont="1" applyFill="1" applyBorder="1" applyAlignment="1">
      <alignment horizontal="right"/>
    </xf>
    <xf numFmtId="0" fontId="35" fillId="0" borderId="0" xfId="0" applyFont="1">
      <alignment vertical="center"/>
    </xf>
    <xf numFmtId="0" fontId="38" fillId="0" borderId="0" xfId="0" applyFont="1" applyAlignment="1">
      <alignment horizontal="right" vertical="center" shrinkToFit="1"/>
    </xf>
    <xf numFmtId="3" fontId="35" fillId="10" borderId="0" xfId="0" applyNumberFormat="1" applyFont="1" applyFill="1">
      <alignment vertical="center"/>
    </xf>
    <xf numFmtId="38" fontId="36" fillId="10" borderId="55" xfId="2" applyNumberFormat="1" applyFont="1" applyFill="1" applyBorder="1" applyAlignment="1">
      <alignment horizontal="right" vertical="center"/>
    </xf>
    <xf numFmtId="38" fontId="36" fillId="10" borderId="56" xfId="2" applyNumberFormat="1" applyFont="1" applyFill="1" applyBorder="1" applyAlignment="1">
      <alignment horizontal="right" vertical="center"/>
    </xf>
    <xf numFmtId="0" fontId="5" fillId="0" borderId="57" xfId="0" applyFont="1" applyBorder="1">
      <alignment vertical="center"/>
    </xf>
    <xf numFmtId="0" fontId="5" fillId="0" borderId="59" xfId="0" applyFont="1" applyBorder="1">
      <alignment vertical="center"/>
    </xf>
    <xf numFmtId="0" fontId="5" fillId="0" borderId="58" xfId="0" applyFont="1" applyBorder="1">
      <alignment vertical="center"/>
    </xf>
    <xf numFmtId="0" fontId="5" fillId="0" borderId="60" xfId="0" applyFont="1" applyBorder="1">
      <alignment vertical="center"/>
    </xf>
    <xf numFmtId="0" fontId="2" fillId="2" borderId="0" xfId="20" applyFont="1" applyFill="1">
      <alignment vertical="center"/>
    </xf>
    <xf numFmtId="0" fontId="2" fillId="2" borderId="0" xfId="20" applyFont="1" applyFill="1" applyAlignment="1">
      <alignment horizontal="center" vertical="center"/>
    </xf>
    <xf numFmtId="0" fontId="2" fillId="2" borderId="25" xfId="20" applyFont="1" applyFill="1" applyBorder="1" applyAlignment="1">
      <alignment horizontal="center" vertical="center"/>
    </xf>
    <xf numFmtId="0" fontId="2" fillId="2" borderId="25" xfId="20" applyFont="1" applyFill="1" applyBorder="1" applyAlignment="1">
      <alignment horizontal="left" vertical="center"/>
    </xf>
    <xf numFmtId="0" fontId="2" fillId="2" borderId="11" xfId="20" applyFont="1" applyFill="1" applyBorder="1">
      <alignment vertical="center"/>
    </xf>
    <xf numFmtId="0" fontId="2" fillId="2" borderId="41" xfId="20" applyFont="1" applyFill="1" applyBorder="1">
      <alignment vertical="center"/>
    </xf>
    <xf numFmtId="0" fontId="2" fillId="2" borderId="8" xfId="20" applyFont="1" applyFill="1" applyBorder="1">
      <alignment vertical="center"/>
    </xf>
    <xf numFmtId="0" fontId="2" fillId="12" borderId="25" xfId="20" applyFont="1" applyFill="1" applyBorder="1" applyAlignment="1">
      <alignment horizontal="left" vertical="center"/>
    </xf>
    <xf numFmtId="0" fontId="4" fillId="12" borderId="0" xfId="20" applyFont="1" applyFill="1" applyAlignment="1">
      <alignment horizontal="center" vertical="center" textRotation="255"/>
    </xf>
    <xf numFmtId="0" fontId="27" fillId="12" borderId="0" xfId="20" applyFont="1" applyFill="1" applyAlignment="1">
      <alignment vertical="center" textRotation="255"/>
    </xf>
    <xf numFmtId="14" fontId="2" fillId="2" borderId="0" xfId="20" applyNumberFormat="1" applyFont="1" applyFill="1">
      <alignment vertical="center"/>
    </xf>
    <xf numFmtId="0" fontId="2" fillId="14" borderId="25" xfId="20" applyFont="1" applyFill="1" applyBorder="1" applyAlignment="1">
      <alignment horizontal="left" vertical="center"/>
    </xf>
    <xf numFmtId="0" fontId="2" fillId="11" borderId="25" xfId="20" applyFont="1" applyFill="1" applyBorder="1" applyAlignment="1">
      <alignment horizontal="center" vertical="center"/>
    </xf>
    <xf numFmtId="0" fontId="2" fillId="18" borderId="25" xfId="20" applyFont="1" applyFill="1" applyBorder="1" applyAlignment="1">
      <alignment horizontal="left" vertical="center"/>
    </xf>
    <xf numFmtId="0" fontId="2" fillId="23" borderId="25" xfId="20" applyFont="1" applyFill="1" applyBorder="1" applyAlignment="1">
      <alignment horizontal="left" vertical="center"/>
    </xf>
    <xf numFmtId="0" fontId="16" fillId="13" borderId="0" xfId="20" applyFont="1" applyFill="1" applyAlignment="1">
      <alignment horizontal="center" vertical="center"/>
    </xf>
    <xf numFmtId="0" fontId="27" fillId="10" borderId="0" xfId="20" applyFont="1" applyFill="1" applyAlignment="1">
      <alignment horizontal="center" vertical="center"/>
    </xf>
    <xf numFmtId="0" fontId="16" fillId="13" borderId="61" xfId="20" applyFont="1" applyFill="1" applyBorder="1" applyAlignment="1">
      <alignment horizontal="center" vertical="center"/>
    </xf>
    <xf numFmtId="0" fontId="2" fillId="6" borderId="61" xfId="20" applyFont="1" applyFill="1" applyBorder="1">
      <alignment vertical="center"/>
    </xf>
    <xf numFmtId="0" fontId="2" fillId="11" borderId="61" xfId="20" applyFont="1" applyFill="1" applyBorder="1" applyAlignment="1">
      <alignment horizontal="center" vertical="center"/>
    </xf>
    <xf numFmtId="0" fontId="2" fillId="13" borderId="61" xfId="20" applyFont="1" applyFill="1" applyBorder="1">
      <alignment vertical="center"/>
    </xf>
    <xf numFmtId="0" fontId="2" fillId="2" borderId="61" xfId="20" applyFont="1" applyFill="1" applyBorder="1" applyAlignment="1">
      <alignment horizontal="center" vertical="center"/>
    </xf>
    <xf numFmtId="0" fontId="2" fillId="12" borderId="61" xfId="20" applyFont="1" applyFill="1" applyBorder="1" applyAlignment="1">
      <alignment horizontal="center" vertical="center"/>
    </xf>
    <xf numFmtId="0" fontId="2" fillId="2" borderId="61" xfId="20" applyFont="1" applyFill="1" applyBorder="1">
      <alignment vertical="center"/>
    </xf>
    <xf numFmtId="0" fontId="27" fillId="2" borderId="62" xfId="20" applyFont="1" applyFill="1" applyBorder="1" applyAlignment="1">
      <alignment horizontal="center" vertical="center"/>
    </xf>
    <xf numFmtId="14" fontId="2" fillId="2" borderId="63" xfId="20" applyNumberFormat="1" applyFont="1" applyFill="1" applyBorder="1" applyAlignment="1">
      <alignment horizontal="center" vertical="center"/>
    </xf>
    <xf numFmtId="185" fontId="2" fillId="2" borderId="0" xfId="20" applyNumberFormat="1" applyFont="1" applyFill="1">
      <alignment vertical="center"/>
    </xf>
    <xf numFmtId="185" fontId="2" fillId="6" borderId="0" xfId="20" applyNumberFormat="1" applyFont="1" applyFill="1">
      <alignment vertical="center"/>
    </xf>
    <xf numFmtId="185" fontId="2" fillId="19" borderId="0" xfId="20" applyNumberFormat="1" applyFont="1" applyFill="1">
      <alignment vertical="center"/>
    </xf>
    <xf numFmtId="185" fontId="2" fillId="18" borderId="0" xfId="20" applyNumberFormat="1" applyFont="1" applyFill="1">
      <alignment vertical="center"/>
    </xf>
    <xf numFmtId="185" fontId="2" fillId="13" borderId="0" xfId="20" applyNumberFormat="1" applyFont="1" applyFill="1">
      <alignment vertical="center"/>
    </xf>
    <xf numFmtId="185" fontId="2" fillId="12" borderId="0" xfId="20" applyNumberFormat="1" applyFont="1" applyFill="1" applyAlignment="1">
      <alignment horizontal="center" vertical="center"/>
    </xf>
    <xf numFmtId="181" fontId="2" fillId="23" borderId="25" xfId="2" applyNumberFormat="1" applyFont="1" applyFill="1" applyBorder="1" applyAlignment="1">
      <alignment horizontal="center" vertical="center"/>
    </xf>
    <xf numFmtId="181" fontId="2" fillId="18" borderId="25" xfId="2" applyNumberFormat="1" applyFont="1" applyFill="1" applyBorder="1" applyAlignment="1">
      <alignment horizontal="center" vertical="center"/>
    </xf>
    <xf numFmtId="181" fontId="2" fillId="11" borderId="25" xfId="2" applyNumberFormat="1" applyFont="1" applyFill="1" applyBorder="1" applyAlignment="1">
      <alignment horizontal="center" vertical="center"/>
    </xf>
    <xf numFmtId="181" fontId="2" fillId="14" borderId="25" xfId="2" applyNumberFormat="1" applyFont="1" applyFill="1" applyBorder="1" applyAlignment="1">
      <alignment horizontal="center" vertical="center"/>
    </xf>
    <xf numFmtId="181" fontId="2" fillId="30" borderId="25" xfId="2" applyNumberFormat="1" applyFont="1" applyFill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14" fontId="2" fillId="2" borderId="11" xfId="0" applyNumberFormat="1" applyFont="1" applyFill="1" applyBorder="1">
      <alignment vertical="center"/>
    </xf>
    <xf numFmtId="181" fontId="2" fillId="2" borderId="8" xfId="2" applyNumberFormat="1" applyFont="1" applyFill="1" applyBorder="1">
      <alignment vertical="center"/>
    </xf>
    <xf numFmtId="181" fontId="2" fillId="2" borderId="11" xfId="2" applyNumberFormat="1" applyFont="1" applyFill="1" applyBorder="1">
      <alignment vertical="center"/>
    </xf>
    <xf numFmtId="9" fontId="2" fillId="0" borderId="9" xfId="3" applyFont="1" applyBorder="1">
      <alignment vertical="center"/>
    </xf>
    <xf numFmtId="9" fontId="2" fillId="0" borderId="11" xfId="3" applyFont="1" applyBorder="1">
      <alignment vertical="center"/>
    </xf>
    <xf numFmtId="9" fontId="2" fillId="0" borderId="8" xfId="3" applyFont="1" applyBorder="1">
      <alignment vertical="center"/>
    </xf>
    <xf numFmtId="9" fontId="2" fillId="0" borderId="10" xfId="3" applyFont="1" applyBorder="1">
      <alignment vertical="center"/>
    </xf>
    <xf numFmtId="9" fontId="2" fillId="2" borderId="38" xfId="3" applyFont="1" applyFill="1" applyBorder="1">
      <alignment vertical="center"/>
    </xf>
    <xf numFmtId="9" fontId="2" fillId="2" borderId="18" xfId="3" applyFont="1" applyFill="1" applyBorder="1">
      <alignment vertical="center"/>
    </xf>
    <xf numFmtId="9" fontId="2" fillId="2" borderId="40" xfId="3" applyFont="1" applyFill="1" applyBorder="1">
      <alignment vertical="center"/>
    </xf>
    <xf numFmtId="9" fontId="2" fillId="0" borderId="18" xfId="3" applyFont="1" applyBorder="1">
      <alignment vertical="center"/>
    </xf>
    <xf numFmtId="9" fontId="2" fillId="2" borderId="16" xfId="3" applyFont="1" applyFill="1" applyBorder="1">
      <alignment vertical="center"/>
    </xf>
    <xf numFmtId="9" fontId="2" fillId="2" borderId="17" xfId="3" applyFont="1" applyFill="1" applyBorder="1">
      <alignment vertical="center"/>
    </xf>
    <xf numFmtId="186" fontId="2" fillId="0" borderId="1" xfId="3" applyNumberFormat="1" applyFont="1" applyBorder="1">
      <alignment vertical="center"/>
    </xf>
    <xf numFmtId="186" fontId="2" fillId="18" borderId="61" xfId="3" applyNumberFormat="1" applyFont="1" applyFill="1" applyBorder="1" applyAlignment="1">
      <alignment horizontal="center" vertical="center"/>
    </xf>
    <xf numFmtId="185" fontId="2" fillId="11" borderId="0" xfId="20" applyNumberFormat="1" applyFont="1" applyFill="1">
      <alignment vertical="center"/>
    </xf>
    <xf numFmtId="0" fontId="2" fillId="15" borderId="25" xfId="20" applyFont="1" applyFill="1" applyBorder="1" applyAlignment="1">
      <alignment horizontal="left" vertical="center"/>
    </xf>
    <xf numFmtId="181" fontId="2" fillId="31" borderId="25" xfId="2" applyNumberFormat="1" applyFont="1" applyFill="1" applyBorder="1" applyAlignment="1">
      <alignment horizontal="center" vertical="center"/>
    </xf>
    <xf numFmtId="0" fontId="2" fillId="15" borderId="61" xfId="20" applyFont="1" applyFill="1" applyBorder="1">
      <alignment vertical="center"/>
    </xf>
    <xf numFmtId="185" fontId="2" fillId="31" borderId="0" xfId="20" applyNumberFormat="1" applyFont="1" applyFill="1">
      <alignment vertical="center"/>
    </xf>
    <xf numFmtId="181" fontId="2" fillId="15" borderId="25" xfId="2" applyNumberFormat="1" applyFont="1" applyFill="1" applyBorder="1" applyAlignment="1">
      <alignment horizontal="center" vertical="center"/>
    </xf>
    <xf numFmtId="185" fontId="2" fillId="15" borderId="0" xfId="20" applyNumberFormat="1" applyFont="1" applyFill="1">
      <alignment vertical="center"/>
    </xf>
    <xf numFmtId="0" fontId="2" fillId="2" borderId="6" xfId="0" applyFont="1" applyFill="1" applyBorder="1">
      <alignment vertical="center"/>
    </xf>
    <xf numFmtId="0" fontId="37" fillId="27" borderId="49" xfId="0" applyFont="1" applyFill="1" applyBorder="1" applyAlignment="1">
      <alignment horizontal="center" vertical="center" shrinkToFit="1"/>
    </xf>
    <xf numFmtId="0" fontId="32" fillId="3" borderId="50" xfId="0" applyFont="1" applyFill="1" applyBorder="1" applyAlignment="1">
      <alignment horizontal="center" vertical="center" shrinkToFit="1"/>
    </xf>
    <xf numFmtId="0" fontId="4" fillId="3" borderId="0" xfId="20" applyFont="1" applyFill="1" applyAlignment="1">
      <alignment horizontal="center" vertical="center" textRotation="255"/>
    </xf>
    <xf numFmtId="0" fontId="27" fillId="12" borderId="0" xfId="0" applyFont="1" applyFill="1" applyAlignment="1">
      <alignment horizontal="center" vertical="center" textRotation="255"/>
    </xf>
    <xf numFmtId="8" fontId="2" fillId="0" borderId="0" xfId="0" applyNumberFormat="1" applyFont="1" applyAlignment="1">
      <alignment horizontal="center" vertical="center"/>
    </xf>
    <xf numFmtId="9" fontId="6" fillId="10" borderId="3" xfId="0" applyNumberFormat="1" applyFont="1" applyFill="1" applyBorder="1" applyAlignment="1">
      <alignment horizontal="center" vertical="center"/>
    </xf>
    <xf numFmtId="9" fontId="6" fillId="2" borderId="3" xfId="0" applyNumberFormat="1" applyFont="1" applyFill="1" applyBorder="1" applyAlignment="1">
      <alignment horizontal="center" vertical="center"/>
    </xf>
    <xf numFmtId="9" fontId="6" fillId="0" borderId="1" xfId="0" applyNumberFormat="1" applyFont="1" applyBorder="1">
      <alignment vertical="center"/>
    </xf>
    <xf numFmtId="0" fontId="5" fillId="0" borderId="7" xfId="0" applyFont="1" applyBorder="1">
      <alignment vertical="center"/>
    </xf>
    <xf numFmtId="0" fontId="5" fillId="0" borderId="7" xfId="0" applyFont="1" applyBorder="1" applyAlignment="1">
      <alignment horizontal="center" vertical="center"/>
    </xf>
    <xf numFmtId="187" fontId="5" fillId="0" borderId="7" xfId="0" applyNumberFormat="1" applyFont="1" applyBorder="1">
      <alignment vertical="center"/>
    </xf>
    <xf numFmtId="0" fontId="32" fillId="3" borderId="0" xfId="0" applyFont="1" applyFill="1" applyAlignment="1">
      <alignment horizontal="center" vertical="center" shrinkToFit="1"/>
    </xf>
    <xf numFmtId="9" fontId="32" fillId="0" borderId="51" xfId="16" applyNumberFormat="1" applyFont="1" applyBorder="1" applyAlignment="1">
      <alignment vertical="center"/>
    </xf>
    <xf numFmtId="9" fontId="32" fillId="0" borderId="0" xfId="16" applyNumberFormat="1" applyFont="1" applyBorder="1" applyAlignment="1">
      <alignment vertical="center"/>
    </xf>
    <xf numFmtId="9" fontId="32" fillId="25" borderId="52" xfId="0" applyNumberFormat="1" applyFont="1" applyFill="1" applyBorder="1" applyAlignment="1"/>
    <xf numFmtId="3" fontId="32" fillId="0" borderId="51" xfId="16" applyNumberFormat="1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37" fillId="27" borderId="0" xfId="0" applyFont="1" applyFill="1" applyAlignment="1">
      <alignment horizontal="center" vertical="center" shrinkToFit="1"/>
    </xf>
    <xf numFmtId="183" fontId="37" fillId="27" borderId="0" xfId="0" applyNumberFormat="1" applyFont="1" applyFill="1" applyAlignment="1">
      <alignment horizontal="center" vertical="center"/>
    </xf>
    <xf numFmtId="9" fontId="32" fillId="3" borderId="50" xfId="0" applyNumberFormat="1" applyFont="1" applyFill="1" applyBorder="1" applyAlignment="1">
      <alignment horizontal="center" vertical="center" shrinkToFit="1"/>
    </xf>
    <xf numFmtId="9" fontId="32" fillId="3" borderId="0" xfId="0" applyNumberFormat="1" applyFont="1" applyFill="1" applyAlignment="1">
      <alignment horizontal="center" vertical="center" shrinkToFit="1"/>
    </xf>
    <xf numFmtId="9" fontId="32" fillId="0" borderId="51" xfId="16" applyNumberFormat="1" applyFont="1" applyBorder="1" applyAlignment="1">
      <alignment horizontal="center" vertical="center"/>
    </xf>
    <xf numFmtId="9" fontId="32" fillId="0" borderId="0" xfId="16" applyNumberFormat="1" applyFont="1" applyBorder="1" applyAlignment="1">
      <alignment horizontal="center" vertical="center"/>
    </xf>
    <xf numFmtId="9" fontId="5" fillId="0" borderId="0" xfId="0" applyNumberFormat="1" applyFont="1" applyAlignment="1">
      <alignment horizontal="center" vertical="center"/>
    </xf>
    <xf numFmtId="9" fontId="5" fillId="0" borderId="0" xfId="0" applyNumberFormat="1" applyFont="1" applyAlignment="1">
      <alignment horizontal="center" vertical="center"/>
    </xf>
    <xf numFmtId="0" fontId="30" fillId="25" borderId="0" xfId="0" applyFont="1" applyFill="1" applyBorder="1" applyAlignment="1">
      <alignment horizontal="right" shrinkToFit="1"/>
    </xf>
    <xf numFmtId="0" fontId="32" fillId="3" borderId="76" xfId="0" applyFont="1" applyFill="1" applyBorder="1" applyAlignment="1">
      <alignment horizontal="center" vertical="center" shrinkToFit="1"/>
    </xf>
    <xf numFmtId="3" fontId="32" fillId="0" borderId="77" xfId="16" applyNumberFormat="1" applyFont="1" applyBorder="1" applyAlignment="1">
      <alignment vertical="center"/>
    </xf>
    <xf numFmtId="3" fontId="32" fillId="0" borderId="77" xfId="16" applyNumberFormat="1" applyFont="1" applyBorder="1" applyAlignment="1">
      <alignment vertical="center" wrapText="1"/>
    </xf>
    <xf numFmtId="9" fontId="5" fillId="0" borderId="75" xfId="0" applyNumberFormat="1" applyFont="1" applyBorder="1" applyAlignment="1">
      <alignment horizontal="center" vertical="center"/>
    </xf>
    <xf numFmtId="3" fontId="32" fillId="25" borderId="0" xfId="0" applyNumberFormat="1" applyFont="1" applyFill="1" applyBorder="1" applyAlignment="1"/>
    <xf numFmtId="0" fontId="32" fillId="3" borderId="75" xfId="0" applyFont="1" applyFill="1" applyBorder="1" applyAlignment="1">
      <alignment horizontal="center" vertical="center" shrinkToFit="1"/>
    </xf>
    <xf numFmtId="0" fontId="30" fillId="25" borderId="75" xfId="0" applyFont="1" applyFill="1" applyBorder="1" applyAlignment="1">
      <alignment horizontal="right" shrinkToFit="1"/>
    </xf>
    <xf numFmtId="3" fontId="32" fillId="0" borderId="75" xfId="16" applyNumberFormat="1" applyFont="1" applyBorder="1" applyAlignment="1">
      <alignment vertical="center"/>
    </xf>
    <xf numFmtId="3" fontId="32" fillId="25" borderId="77" xfId="0" applyNumberFormat="1" applyFont="1" applyFill="1" applyBorder="1">
      <alignment vertical="center"/>
    </xf>
    <xf numFmtId="0" fontId="4" fillId="13" borderId="0" xfId="20" applyFont="1" applyFill="1" applyAlignment="1">
      <alignment horizontal="center" vertical="center" textRotation="255"/>
    </xf>
    <xf numFmtId="0" fontId="27" fillId="6" borderId="28" xfId="20" applyFont="1" applyFill="1" applyBorder="1" applyAlignment="1">
      <alignment horizontal="center" vertical="center" textRotation="255"/>
    </xf>
    <xf numFmtId="0" fontId="27" fillId="6" borderId="0" xfId="20" applyFont="1" applyFill="1" applyAlignment="1">
      <alignment horizontal="center" vertical="center" textRotation="255"/>
    </xf>
    <xf numFmtId="0" fontId="27" fillId="12" borderId="0" xfId="20" applyFont="1" applyFill="1" applyAlignment="1">
      <alignment horizontal="center" vertical="center" textRotation="255"/>
    </xf>
    <xf numFmtId="0" fontId="4" fillId="3" borderId="0" xfId="20" applyFont="1" applyFill="1" applyAlignment="1">
      <alignment horizontal="center" vertical="center" textRotation="255"/>
    </xf>
    <xf numFmtId="0" fontId="4" fillId="5" borderId="0" xfId="20" applyFont="1" applyFill="1" applyAlignment="1">
      <alignment horizontal="center" vertical="center" textRotation="255"/>
    </xf>
    <xf numFmtId="0" fontId="4" fillId="7" borderId="0" xfId="20" applyFont="1" applyFill="1" applyAlignment="1">
      <alignment horizontal="center" vertical="center" textRotation="255"/>
    </xf>
    <xf numFmtId="0" fontId="4" fillId="16" borderId="6" xfId="0" applyFont="1" applyFill="1" applyBorder="1" applyAlignment="1">
      <alignment horizontal="center" vertical="center"/>
    </xf>
    <xf numFmtId="0" fontId="4" fillId="16" borderId="13" xfId="0" applyFont="1" applyFill="1" applyBorder="1" applyAlignment="1">
      <alignment horizontal="center" vertical="center"/>
    </xf>
    <xf numFmtId="0" fontId="4" fillId="16" borderId="15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left" vertical="center"/>
    </xf>
    <xf numFmtId="0" fontId="5" fillId="0" borderId="13" xfId="0" applyFont="1" applyBorder="1" applyAlignment="1">
      <alignment horizontal="left" vertical="center"/>
    </xf>
    <xf numFmtId="0" fontId="37" fillId="27" borderId="49" xfId="0" applyFont="1" applyFill="1" applyBorder="1" applyAlignment="1">
      <alignment horizontal="center" vertical="center" shrinkToFit="1"/>
    </xf>
    <xf numFmtId="0" fontId="32" fillId="3" borderId="50" xfId="0" applyFont="1" applyFill="1" applyBorder="1" applyAlignment="1">
      <alignment horizontal="center" vertical="center" shrinkToFit="1"/>
    </xf>
    <xf numFmtId="0" fontId="32" fillId="3" borderId="0" xfId="0" applyFont="1" applyFill="1" applyAlignment="1">
      <alignment horizontal="center" vertical="center" shrinkToFit="1"/>
    </xf>
    <xf numFmtId="0" fontId="32" fillId="3" borderId="66" xfId="0" applyFont="1" applyFill="1" applyBorder="1" applyAlignment="1">
      <alignment horizontal="center" vertical="center" shrinkToFit="1"/>
    </xf>
    <xf numFmtId="0" fontId="32" fillId="3" borderId="67" xfId="0" applyFont="1" applyFill="1" applyBorder="1" applyAlignment="1">
      <alignment horizontal="center" vertical="center" shrinkToFit="1"/>
    </xf>
    <xf numFmtId="0" fontId="32" fillId="3" borderId="68" xfId="0" applyFont="1" applyFill="1" applyBorder="1" applyAlignment="1">
      <alignment horizontal="center" vertical="center" shrinkToFit="1"/>
    </xf>
    <xf numFmtId="0" fontId="32" fillId="3" borderId="69" xfId="0" applyFont="1" applyFill="1" applyBorder="1" applyAlignment="1">
      <alignment horizontal="center" vertical="center" shrinkToFit="1"/>
    </xf>
    <xf numFmtId="0" fontId="31" fillId="7" borderId="0" xfId="0" applyFont="1" applyFill="1" applyAlignment="1">
      <alignment horizontal="center" vertical="center"/>
    </xf>
    <xf numFmtId="0" fontId="33" fillId="24" borderId="45" xfId="0" applyFont="1" applyFill="1" applyBorder="1" applyAlignment="1">
      <alignment horizontal="center" vertical="center"/>
    </xf>
    <xf numFmtId="0" fontId="33" fillId="24" borderId="28" xfId="0" applyFont="1" applyFill="1" applyBorder="1" applyAlignment="1">
      <alignment horizontal="center" vertical="center"/>
    </xf>
    <xf numFmtId="0" fontId="36" fillId="10" borderId="54" xfId="0" applyFont="1" applyFill="1" applyBorder="1" applyAlignment="1">
      <alignment horizontal="center" vertical="center"/>
    </xf>
    <xf numFmtId="0" fontId="36" fillId="10" borderId="55" xfId="0" applyFont="1" applyFill="1" applyBorder="1" applyAlignment="1">
      <alignment horizontal="center" vertical="center"/>
    </xf>
    <xf numFmtId="3" fontId="32" fillId="0" borderId="51" xfId="16" applyNumberFormat="1" applyFont="1" applyBorder="1" applyAlignment="1">
      <alignment horizontal="center" vertical="center"/>
    </xf>
    <xf numFmtId="3" fontId="32" fillId="0" borderId="74" xfId="16" applyNumberFormat="1" applyFont="1" applyBorder="1" applyAlignment="1">
      <alignment horizontal="center" vertical="center"/>
    </xf>
    <xf numFmtId="9" fontId="5" fillId="0" borderId="0" xfId="0" applyNumberFormat="1" applyFont="1" applyAlignment="1">
      <alignment horizontal="center" vertical="center"/>
    </xf>
    <xf numFmtId="3" fontId="32" fillId="0" borderId="72" xfId="16" applyNumberFormat="1" applyFont="1" applyBorder="1" applyAlignment="1">
      <alignment horizontal="center" vertical="center"/>
    </xf>
    <xf numFmtId="3" fontId="32" fillId="0" borderId="73" xfId="16" applyNumberFormat="1" applyFont="1" applyBorder="1" applyAlignment="1">
      <alignment horizontal="center" vertical="center"/>
    </xf>
    <xf numFmtId="0" fontId="32" fillId="3" borderId="70" xfId="0" applyFont="1" applyFill="1" applyBorder="1" applyAlignment="1">
      <alignment horizontal="center" vertical="center" shrinkToFit="1"/>
    </xf>
    <xf numFmtId="0" fontId="32" fillId="3" borderId="71" xfId="0" applyFont="1" applyFill="1" applyBorder="1" applyAlignment="1">
      <alignment horizontal="center" vertical="center" shrinkToFit="1"/>
    </xf>
    <xf numFmtId="3" fontId="32" fillId="0" borderId="72" xfId="16" applyNumberFormat="1" applyFont="1" applyBorder="1" applyAlignment="1">
      <alignment horizontal="center" vertical="center" wrapText="1"/>
    </xf>
    <xf numFmtId="3" fontId="32" fillId="0" borderId="73" xfId="16" applyNumberFormat="1" applyFont="1" applyBorder="1" applyAlignment="1">
      <alignment horizontal="center" vertical="center" wrapText="1"/>
    </xf>
    <xf numFmtId="0" fontId="27" fillId="3" borderId="6" xfId="0" applyFont="1" applyFill="1" applyBorder="1" applyAlignment="1">
      <alignment horizontal="center" vertical="center"/>
    </xf>
    <xf numFmtId="0" fontId="27" fillId="3" borderId="13" xfId="0" applyFont="1" applyFill="1" applyBorder="1" applyAlignment="1">
      <alignment horizontal="center" vertical="center"/>
    </xf>
    <xf numFmtId="0" fontId="27" fillId="4" borderId="10" xfId="0" applyFont="1" applyFill="1" applyBorder="1" applyAlignment="1">
      <alignment horizontal="center" vertical="center"/>
    </xf>
    <xf numFmtId="0" fontId="27" fillId="4" borderId="14" xfId="0" applyFont="1" applyFill="1" applyBorder="1" applyAlignment="1">
      <alignment horizontal="center" vertical="center"/>
    </xf>
    <xf numFmtId="0" fontId="27" fillId="12" borderId="0" xfId="0" applyFont="1" applyFill="1" applyAlignment="1">
      <alignment horizontal="center" vertical="center" textRotation="255"/>
    </xf>
    <xf numFmtId="0" fontId="4" fillId="13" borderId="0" xfId="0" applyFont="1" applyFill="1" applyAlignment="1">
      <alignment horizontal="center" vertical="center" textRotation="255"/>
    </xf>
    <xf numFmtId="0" fontId="4" fillId="5" borderId="0" xfId="0" applyFont="1" applyFill="1" applyAlignment="1">
      <alignment horizontal="center" vertical="center" textRotation="255"/>
    </xf>
    <xf numFmtId="0" fontId="4" fillId="7" borderId="0" xfId="0" applyFont="1" applyFill="1" applyAlignment="1">
      <alignment horizontal="center" vertical="center" textRotation="255"/>
    </xf>
    <xf numFmtId="0" fontId="10" fillId="8" borderId="1" xfId="0" applyFont="1" applyFill="1" applyBorder="1" applyAlignment="1">
      <alignment horizontal="center" vertical="center"/>
    </xf>
    <xf numFmtId="0" fontId="12" fillId="0" borderId="1" xfId="0" applyFont="1" applyBorder="1">
      <alignment vertical="center"/>
    </xf>
    <xf numFmtId="0" fontId="17" fillId="8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176" fontId="8" fillId="8" borderId="1" xfId="0" applyNumberFormat="1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0" fontId="2" fillId="0" borderId="0" xfId="3" applyNumberFormat="1" applyFont="1" applyAlignment="1">
      <alignment horizontal="center" vertical="center"/>
    </xf>
    <xf numFmtId="8" fontId="2" fillId="0" borderId="0" xfId="0" applyNumberFormat="1" applyFont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0" fontId="27" fillId="19" borderId="28" xfId="0" applyFont="1" applyFill="1" applyBorder="1" applyAlignment="1">
      <alignment horizontal="center" vertical="center" textRotation="255"/>
    </xf>
    <xf numFmtId="0" fontId="27" fillId="19" borderId="0" xfId="0" applyFont="1" applyFill="1" applyBorder="1" applyAlignment="1">
      <alignment horizontal="center" vertical="center" textRotation="255"/>
    </xf>
    <xf numFmtId="3" fontId="35" fillId="2" borderId="0" xfId="2" applyNumberFormat="1" applyFont="1" applyFill="1" applyBorder="1" applyAlignment="1">
      <alignment horizontal="right" vertical="center"/>
    </xf>
    <xf numFmtId="38" fontId="36" fillId="2" borderId="55" xfId="2" applyNumberFormat="1" applyFont="1" applyFill="1" applyBorder="1" applyAlignment="1">
      <alignment horizontal="right" vertical="center"/>
    </xf>
    <xf numFmtId="0" fontId="37" fillId="33" borderId="49" xfId="0" applyFont="1" applyFill="1" applyBorder="1" applyAlignment="1">
      <alignment horizontal="center" vertical="center" shrinkToFit="1"/>
    </xf>
    <xf numFmtId="183" fontId="37" fillId="33" borderId="49" xfId="0" applyNumberFormat="1" applyFont="1" applyFill="1" applyBorder="1" applyAlignment="1">
      <alignment horizontal="center" vertical="center"/>
    </xf>
    <xf numFmtId="0" fontId="30" fillId="33" borderId="78" xfId="0" applyFont="1" applyFill="1" applyBorder="1" applyAlignment="1">
      <alignment horizontal="right" shrinkToFit="1"/>
    </xf>
    <xf numFmtId="0" fontId="35" fillId="32" borderId="47" xfId="0" applyFont="1" applyFill="1" applyBorder="1" applyAlignment="1">
      <alignment horizontal="center" vertical="center"/>
    </xf>
    <xf numFmtId="0" fontId="35" fillId="32" borderId="0" xfId="0" applyFont="1" applyFill="1" applyAlignment="1">
      <alignment horizontal="center" vertical="center"/>
    </xf>
    <xf numFmtId="0" fontId="35" fillId="12" borderId="64" xfId="0" applyFont="1" applyFill="1" applyBorder="1" applyAlignment="1">
      <alignment horizontal="center" vertical="center"/>
    </xf>
    <xf numFmtId="0" fontId="35" fillId="12" borderId="65" xfId="0" applyFont="1" applyFill="1" applyBorder="1" applyAlignment="1">
      <alignment horizontal="center" vertical="center"/>
    </xf>
    <xf numFmtId="0" fontId="35" fillId="33" borderId="47" xfId="0" applyFont="1" applyFill="1" applyBorder="1" applyAlignment="1">
      <alignment horizontal="center" vertical="center"/>
    </xf>
    <xf numFmtId="0" fontId="35" fillId="33" borderId="0" xfId="0" applyFont="1" applyFill="1" applyAlignment="1">
      <alignment horizontal="center" vertical="center"/>
    </xf>
    <xf numFmtId="0" fontId="4" fillId="34" borderId="0" xfId="0" applyFont="1" applyFill="1" applyAlignment="1">
      <alignment horizontal="center" vertical="center" textRotation="255"/>
    </xf>
    <xf numFmtId="0" fontId="36" fillId="34" borderId="49" xfId="0" applyFont="1" applyFill="1" applyBorder="1" applyAlignment="1">
      <alignment horizontal="center" vertical="center" shrinkToFit="1"/>
    </xf>
    <xf numFmtId="0" fontId="36" fillId="34" borderId="0" xfId="0" applyFont="1" applyFill="1" applyBorder="1" applyAlignment="1">
      <alignment horizontal="center" vertical="center" shrinkToFit="1"/>
    </xf>
    <xf numFmtId="0" fontId="30" fillId="34" borderId="49" xfId="0" applyFont="1" applyFill="1" applyBorder="1" applyAlignment="1">
      <alignment horizontal="center" shrinkToFit="1"/>
    </xf>
    <xf numFmtId="0" fontId="30" fillId="34" borderId="49" xfId="0" applyFont="1" applyFill="1" applyBorder="1" applyAlignment="1">
      <alignment horizontal="right" shrinkToFit="1"/>
    </xf>
    <xf numFmtId="0" fontId="35" fillId="29" borderId="0" xfId="0" applyFont="1" applyFill="1" applyAlignment="1">
      <alignment horizontal="center" shrinkToFit="1"/>
    </xf>
    <xf numFmtId="0" fontId="37" fillId="28" borderId="0" xfId="0" applyFont="1" applyFill="1" applyBorder="1" applyAlignment="1">
      <alignment horizontal="center" vertical="center" shrinkToFit="1"/>
    </xf>
    <xf numFmtId="0" fontId="30" fillId="25" borderId="49" xfId="0" applyFont="1" applyFill="1" applyBorder="1" applyAlignment="1">
      <alignment horizontal="center" shrinkToFit="1"/>
    </xf>
    <xf numFmtId="0" fontId="32" fillId="19" borderId="50" xfId="0" applyFont="1" applyFill="1" applyBorder="1" applyAlignment="1">
      <alignment horizontal="center" vertical="center" shrinkToFit="1"/>
    </xf>
    <xf numFmtId="0" fontId="32" fillId="19" borderId="66" xfId="0" applyFont="1" applyFill="1" applyBorder="1" applyAlignment="1">
      <alignment horizontal="center" vertical="center" shrinkToFit="1"/>
    </xf>
    <xf numFmtId="0" fontId="32" fillId="19" borderId="67" xfId="0" applyFont="1" applyFill="1" applyBorder="1" applyAlignment="1">
      <alignment horizontal="center" vertical="center" shrinkToFit="1"/>
    </xf>
    <xf numFmtId="0" fontId="32" fillId="19" borderId="70" xfId="0" applyFont="1" applyFill="1" applyBorder="1" applyAlignment="1">
      <alignment horizontal="center" vertical="center" shrinkToFit="1"/>
    </xf>
    <xf numFmtId="183" fontId="36" fillId="34" borderId="49" xfId="0" applyNumberFormat="1" applyFont="1" applyFill="1" applyBorder="1" applyAlignment="1">
      <alignment horizontal="center" vertical="center"/>
    </xf>
    <xf numFmtId="0" fontId="36" fillId="28" borderId="0" xfId="0" applyFont="1" applyFill="1" applyBorder="1" applyAlignment="1">
      <alignment horizontal="center" vertical="center" shrinkToFit="1"/>
    </xf>
    <xf numFmtId="183" fontId="36" fillId="28" borderId="49" xfId="0" applyNumberFormat="1" applyFont="1" applyFill="1" applyBorder="1" applyAlignment="1">
      <alignment horizontal="center" vertical="center"/>
    </xf>
    <xf numFmtId="0" fontId="32" fillId="25" borderId="66" xfId="0" applyFont="1" applyFill="1" applyBorder="1" applyAlignment="1">
      <alignment horizontal="center" vertical="center" shrinkToFit="1"/>
    </xf>
    <xf numFmtId="0" fontId="32" fillId="25" borderId="67" xfId="0" applyFont="1" applyFill="1" applyBorder="1" applyAlignment="1">
      <alignment horizontal="center" vertical="center" shrinkToFit="1"/>
    </xf>
    <xf numFmtId="0" fontId="32" fillId="25" borderId="50" xfId="0" applyFont="1" applyFill="1" applyBorder="1" applyAlignment="1">
      <alignment horizontal="center" vertical="center" shrinkToFit="1"/>
    </xf>
    <xf numFmtId="0" fontId="32" fillId="25" borderId="70" xfId="0" applyFont="1" applyFill="1" applyBorder="1" applyAlignment="1">
      <alignment horizontal="center" vertical="center" shrinkToFit="1"/>
    </xf>
    <xf numFmtId="0" fontId="35" fillId="16" borderId="0" xfId="0" applyFont="1" applyFill="1" applyAlignment="1">
      <alignment horizontal="center" shrinkToFit="1"/>
    </xf>
    <xf numFmtId="184" fontId="35" fillId="16" borderId="0" xfId="3" applyNumberFormat="1" applyFont="1" applyFill="1" applyBorder="1" applyAlignment="1">
      <alignment horizontal="right"/>
    </xf>
    <xf numFmtId="0" fontId="37" fillId="13" borderId="0" xfId="0" applyFont="1" applyFill="1" applyBorder="1" applyAlignment="1">
      <alignment horizontal="center" vertical="center" shrinkToFit="1"/>
    </xf>
    <xf numFmtId="183" fontId="37" fillId="13" borderId="49" xfId="0" applyNumberFormat="1" applyFont="1" applyFill="1" applyBorder="1" applyAlignment="1">
      <alignment horizontal="center" vertical="center"/>
    </xf>
    <xf numFmtId="0" fontId="30" fillId="13" borderId="49" xfId="0" applyFont="1" applyFill="1" applyBorder="1" applyAlignment="1">
      <alignment horizontal="center" shrinkToFit="1"/>
    </xf>
    <xf numFmtId="0" fontId="36" fillId="13" borderId="0" xfId="0" applyFont="1" applyFill="1" applyBorder="1" applyAlignment="1">
      <alignment horizontal="center" vertical="center" shrinkToFit="1"/>
    </xf>
    <xf numFmtId="183" fontId="36" fillId="13" borderId="49" xfId="0" applyNumberFormat="1" applyFont="1" applyFill="1" applyBorder="1" applyAlignment="1">
      <alignment horizontal="center" vertical="center"/>
    </xf>
    <xf numFmtId="0" fontId="36" fillId="34" borderId="0" xfId="0" applyFont="1" applyFill="1" applyBorder="1" applyAlignment="1">
      <alignment horizontal="center" vertical="center" shrinkToFit="1"/>
    </xf>
    <xf numFmtId="183" fontId="36" fillId="34" borderId="49" xfId="0" applyNumberFormat="1" applyFont="1" applyFill="1" applyBorder="1" applyAlignment="1">
      <alignment horizontal="center" vertical="center"/>
    </xf>
  </cellXfs>
  <cellStyles count="21">
    <cellStyle name="一般" xfId="0" builtinId="0"/>
    <cellStyle name="一般 2" xfId="1"/>
    <cellStyle name="一般 2 2" xfId="20"/>
    <cellStyle name="一般 3" xfId="10"/>
    <cellStyle name="一般 4" xfId="17"/>
    <cellStyle name="千分位" xfId="16" builtinId="3"/>
    <cellStyle name="千分位 2" xfId="18"/>
    <cellStyle name="日期" xfId="6"/>
    <cellStyle name="百分比" xfId="3" builtinId="5"/>
    <cellStyle name="百分比 2" xfId="13"/>
    <cellStyle name="百分比 3" xfId="19"/>
    <cellStyle name="表格金額" xfId="8"/>
    <cellStyle name="金額" xfId="4"/>
    <cellStyle name="貨幣" xfId="2" builtinId="4"/>
    <cellStyle name="貸款摘要" xfId="9"/>
    <cellStyle name="說明文字 2" xfId="12"/>
    <cellStyle name="標題 2 2" xfId="14"/>
    <cellStyle name="標題 3 2" xfId="11"/>
    <cellStyle name="樣式 6" xfId="7"/>
    <cellStyle name="編號​​" xfId="5"/>
    <cellStyle name="靠右對齊的標題 4" xfId="15"/>
  </cellStyles>
  <dxfs count="156">
    <dxf>
      <fill>
        <patternFill patternType="solid">
          <fgColor rgb="FFF2F2F2"/>
          <bgColor rgb="FFF2F2F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scheme val="none"/>
      </font>
      <fill>
        <patternFill patternType="solid">
          <fgColor indexed="64"/>
          <bgColor theme="0"/>
        </patternFill>
      </fill>
      <border diagonalUp="0" diagonalDown="0" outline="0">
        <left/>
        <right style="thin">
          <color theme="0"/>
        </right>
        <top style="thin">
          <color theme="1"/>
        </top>
        <bottom style="medium">
          <color theme="0"/>
        </bottom>
      </border>
    </dxf>
    <dxf>
      <font>
        <strike val="0"/>
        <outline val="0"/>
        <shadow val="0"/>
        <u val="none"/>
        <vertAlign val="baseline"/>
        <name val="微軟正黑體"/>
        <scheme val="none"/>
      </font>
      <numFmt numFmtId="13" formatCode="0%"/>
      <fill>
        <patternFill patternType="solid">
          <fgColor indexed="64"/>
          <bgColor theme="0"/>
        </patternFill>
      </fill>
      <border diagonalUp="0" diagonalDown="0">
        <left/>
        <right style="thin">
          <color theme="0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thin">
          <color theme="0"/>
        </left>
        <right/>
        <top style="thin">
          <color theme="1"/>
        </top>
        <bottom style="medium">
          <color theme="0"/>
        </bottom>
      </border>
    </dxf>
    <dxf>
      <font>
        <strike val="0"/>
        <outline val="0"/>
        <shadow val="0"/>
        <u val="none"/>
        <vertAlign val="baseline"/>
        <name val="微軟正黑體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thin">
          <color theme="0"/>
        </left>
        <right/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scheme val="none"/>
      </font>
      <fill>
        <patternFill patternType="solid">
          <fgColor indexed="64"/>
          <bgColor theme="0"/>
        </patternFill>
      </fill>
      <border diagonalUp="0" diagonalDown="0" outline="0">
        <left/>
        <right style="thin">
          <color theme="0"/>
        </right>
        <top style="thin">
          <color theme="1"/>
        </top>
        <bottom style="medium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scheme val="none"/>
      </font>
      <fill>
        <patternFill patternType="solid">
          <fgColor indexed="64"/>
          <bgColor theme="0"/>
        </patternFill>
      </fill>
      <border diagonalUp="0" diagonalDown="0" outline="0">
        <left/>
        <right style="thin">
          <color theme="0"/>
        </right>
        <top style="thin">
          <color theme="1"/>
        </top>
        <bottom style="thin">
          <color theme="1"/>
        </bottom>
      </border>
    </dxf>
    <dxf>
      <border>
        <top style="thin">
          <color theme="1"/>
        </top>
      </border>
    </dxf>
    <dxf>
      <font>
        <strike val="0"/>
        <outline val="0"/>
        <shadow val="0"/>
        <u val="none"/>
        <vertAlign val="baseline"/>
        <name val="微軟正黑體"/>
        <scheme val="none"/>
      </font>
    </dxf>
    <dxf>
      <border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u val="none"/>
        <vertAlign val="baseline"/>
        <name val="微軟正黑體"/>
        <scheme val="none"/>
      </font>
    </dxf>
    <dxf>
      <border outline="0">
        <bottom style="medium">
          <color theme="1"/>
        </bottom>
      </border>
    </dxf>
    <dxf>
      <font>
        <strike val="0"/>
        <outline val="0"/>
        <shadow val="0"/>
        <u val="none"/>
        <vertAlign val="baseline"/>
        <name val="微軟正黑體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scheme val="none"/>
      </font>
      <border diagonalUp="0" diagonalDown="0" outline="0">
        <left style="thin">
          <color theme="0"/>
        </left>
        <right/>
        <top style="thin">
          <color theme="1"/>
        </top>
        <bottom/>
      </border>
    </dxf>
    <dxf>
      <font>
        <strike val="0"/>
        <outline val="0"/>
        <shadow val="0"/>
        <u val="none"/>
        <vertAlign val="baseline"/>
        <name val="微軟正黑體"/>
        <scheme val="none"/>
      </font>
      <numFmt numFmtId="13" formatCode="0%"/>
      <border diagonalUp="0" diagonalDown="0">
        <left style="thin">
          <color theme="0"/>
        </left>
        <right/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scheme val="none"/>
      </font>
      <border diagonalUp="0" diagonalDown="0" outline="0">
        <left style="thin">
          <color theme="0"/>
        </left>
        <right style="thin">
          <color theme="0"/>
        </right>
        <top style="thin">
          <color theme="1"/>
        </top>
        <bottom/>
      </border>
    </dxf>
    <dxf>
      <font>
        <strike val="0"/>
        <outline val="0"/>
        <shadow val="0"/>
        <u val="none"/>
        <vertAlign val="baseline"/>
        <name val="微軟正黑體"/>
        <scheme val="none"/>
      </font>
      <border diagonalUp="0" diagonalDown="0" outline="0">
        <left style="thin">
          <color theme="0"/>
        </left>
        <right style="thin">
          <color theme="0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scheme val="none"/>
      </font>
      <border diagonalUp="0" diagonalDown="0" outline="0">
        <left/>
        <right style="thin">
          <color theme="0"/>
        </right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scheme val="none"/>
      </font>
      <border diagonalUp="0" diagonalDown="0" outline="0">
        <left/>
        <right style="thin">
          <color theme="0"/>
        </right>
        <top style="thin">
          <color theme="1"/>
        </top>
        <bottom style="thin">
          <color theme="1"/>
        </bottom>
      </border>
    </dxf>
    <dxf>
      <border outline="0">
        <top style="thin">
          <color theme="1"/>
        </top>
      </border>
    </dxf>
    <dxf>
      <font>
        <strike val="0"/>
        <outline val="0"/>
        <shadow val="0"/>
        <u val="none"/>
        <vertAlign val="baseline"/>
        <name val="微軟正黑體"/>
        <scheme val="none"/>
      </font>
    </dxf>
    <dxf>
      <border outline="0">
        <left style="thin">
          <color theme="0"/>
        </left>
        <right style="thin">
          <color theme="0"/>
        </right>
        <top style="thin">
          <color theme="0"/>
        </top>
        <bottom style="medium">
          <color theme="1"/>
        </bottom>
      </border>
    </dxf>
    <dxf>
      <font>
        <strike val="0"/>
        <outline val="0"/>
        <shadow val="0"/>
        <u val="none"/>
        <vertAlign val="baseline"/>
        <name val="微軟正黑體"/>
        <scheme val="none"/>
      </font>
    </dxf>
    <dxf>
      <border outline="0">
        <bottom style="medium">
          <color theme="1"/>
        </bottom>
      </border>
    </dxf>
    <dxf>
      <font>
        <strike val="0"/>
        <outline val="0"/>
        <shadow val="0"/>
        <u val="none"/>
        <vertAlign val="baseline"/>
        <name val="微軟正黑體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scheme val="none"/>
      </font>
      <border diagonalUp="0" diagonalDown="0" outline="0">
        <left style="thin">
          <color theme="0"/>
        </left>
        <right style="thin">
          <color theme="0"/>
        </right>
        <top style="thin">
          <color theme="1"/>
        </top>
        <bottom style="medium">
          <color theme="1"/>
        </bottom>
      </border>
    </dxf>
    <dxf>
      <font>
        <strike val="0"/>
        <outline val="0"/>
        <shadow val="0"/>
        <u val="none"/>
        <vertAlign val="baseline"/>
        <name val="微軟正黑體"/>
        <scheme val="none"/>
      </font>
      <border diagonalUp="0" diagonalDown="0">
        <left style="thin">
          <color theme="0"/>
        </left>
        <right style="thin">
          <color theme="0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scheme val="none"/>
      </font>
      <border diagonalUp="0" diagonalDown="0" outline="0">
        <left style="thin">
          <color theme="0"/>
        </left>
        <right style="thin">
          <color theme="0"/>
        </right>
        <top style="thin">
          <color theme="1"/>
        </top>
        <bottom style="medium">
          <color theme="1"/>
        </bottom>
      </border>
    </dxf>
    <dxf>
      <font>
        <strike val="0"/>
        <outline val="0"/>
        <shadow val="0"/>
        <u val="none"/>
        <vertAlign val="baseline"/>
        <name val="微軟正黑體"/>
        <scheme val="none"/>
      </font>
      <border diagonalUp="0" diagonalDown="0" outline="0">
        <left style="thin">
          <color theme="0"/>
        </left>
        <right style="thin">
          <color theme="0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scheme val="none"/>
      </font>
      <border diagonalUp="0" diagonalDown="0" outline="0">
        <left style="thin">
          <color theme="0"/>
        </left>
        <right style="thin">
          <color theme="0"/>
        </right>
        <top style="thin">
          <color theme="1"/>
        </top>
        <bottom style="medium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scheme val="none"/>
      </font>
      <border diagonalUp="0" diagonalDown="0" outline="0">
        <left style="thin">
          <color theme="0"/>
        </left>
        <right style="thin">
          <color theme="0"/>
        </right>
        <top style="thin">
          <color theme="1"/>
        </top>
        <bottom style="thin">
          <color theme="1"/>
        </bottom>
      </border>
    </dxf>
    <dxf>
      <border outline="0">
        <top style="thin">
          <color theme="1"/>
        </top>
      </border>
    </dxf>
    <dxf>
      <font>
        <strike val="0"/>
        <outline val="0"/>
        <shadow val="0"/>
        <u val="none"/>
        <vertAlign val="baseline"/>
        <name val="微軟正黑體"/>
        <scheme val="none"/>
      </font>
    </dxf>
    <dxf>
      <font>
        <strike val="0"/>
        <outline val="0"/>
        <shadow val="0"/>
        <u val="none"/>
        <vertAlign val="baseline"/>
        <name val="微軟正黑體"/>
        <scheme val="none"/>
      </font>
    </dxf>
    <dxf>
      <border>
        <bottom style="medium">
          <color theme="1"/>
        </bottom>
      </border>
    </dxf>
    <dxf>
      <font>
        <strike val="0"/>
        <outline val="0"/>
        <shadow val="0"/>
        <u val="none"/>
        <vertAlign val="baseline"/>
        <name val="微軟正黑體"/>
        <scheme val="none"/>
      </font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scheme val="none"/>
      </font>
      <border diagonalUp="0" diagonalDown="0" outline="0">
        <left style="thin">
          <color theme="0"/>
        </left>
        <right style="thin">
          <color theme="0"/>
        </right>
        <top style="thin">
          <color theme="1"/>
        </top>
        <bottom style="medium">
          <color theme="1"/>
        </bottom>
      </border>
    </dxf>
    <dxf>
      <font>
        <strike val="0"/>
        <outline val="0"/>
        <shadow val="0"/>
        <u val="none"/>
        <vertAlign val="baseline"/>
        <name val="微軟正黑體"/>
        <scheme val="none"/>
      </font>
      <numFmt numFmtId="13" formatCode="0%"/>
      <border diagonalUp="0" diagonalDown="0">
        <left style="thin">
          <color theme="0"/>
        </left>
        <right style="thin">
          <color theme="0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scheme val="none"/>
      </font>
      <border diagonalUp="0" diagonalDown="0" outline="0">
        <left style="thin">
          <color theme="0"/>
        </left>
        <right style="thin">
          <color theme="0"/>
        </right>
        <top style="thin">
          <color theme="1"/>
        </top>
        <bottom style="medium">
          <color theme="1"/>
        </bottom>
      </border>
    </dxf>
    <dxf>
      <font>
        <strike val="0"/>
        <outline val="0"/>
        <shadow val="0"/>
        <u val="none"/>
        <vertAlign val="baseline"/>
        <name val="微軟正黑體"/>
        <scheme val="none"/>
      </font>
      <border diagonalUp="0" diagonalDown="0" outline="0">
        <left style="thin">
          <color theme="0"/>
        </left>
        <right style="thin">
          <color theme="0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scheme val="none"/>
      </font>
      <border diagonalUp="0" diagonalDown="0" outline="0">
        <left style="thin">
          <color theme="0"/>
        </left>
        <right style="thin">
          <color theme="0"/>
        </right>
        <top style="thin">
          <color theme="1"/>
        </top>
        <bottom style="medium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scheme val="none"/>
      </font>
      <border diagonalUp="0" diagonalDown="0" outline="0">
        <left style="thin">
          <color theme="0"/>
        </left>
        <right style="thin">
          <color theme="0"/>
        </right>
        <top style="thin">
          <color theme="1"/>
        </top>
        <bottom style="thin">
          <color theme="1"/>
        </bottom>
      </border>
    </dxf>
    <dxf>
      <border outline="0">
        <top style="thin">
          <color theme="1"/>
        </top>
      </border>
    </dxf>
    <dxf>
      <font>
        <strike val="0"/>
        <outline val="0"/>
        <shadow val="0"/>
        <u val="none"/>
        <vertAlign val="baseline"/>
        <name val="微軟正黑體"/>
        <scheme val="none"/>
      </font>
    </dxf>
    <dxf>
      <font>
        <strike val="0"/>
        <outline val="0"/>
        <shadow val="0"/>
        <u val="none"/>
        <vertAlign val="baseline"/>
        <name val="微軟正黑體"/>
        <scheme val="none"/>
      </font>
    </dxf>
    <dxf>
      <border outline="0">
        <bottom style="medium">
          <color theme="1"/>
        </bottom>
      </border>
    </dxf>
    <dxf>
      <font>
        <strike val="0"/>
        <outline val="0"/>
        <shadow val="0"/>
        <u val="none"/>
        <vertAlign val="baseline"/>
        <name val="微軟正黑體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scheme val="none"/>
      </font>
      <fill>
        <patternFill patternType="solid">
          <fgColor indexed="64"/>
          <bgColor theme="0"/>
        </patternFill>
      </fill>
      <border diagonalUp="0" diagonalDown="0" outline="0">
        <left/>
        <right style="thin">
          <color theme="0"/>
        </right>
        <top style="thin">
          <color theme="1"/>
        </top>
        <bottom style="medium">
          <color theme="0"/>
        </bottom>
      </border>
    </dxf>
    <dxf>
      <font>
        <strike val="0"/>
        <outline val="0"/>
        <shadow val="0"/>
        <u val="none"/>
        <vertAlign val="baseline"/>
        <name val="微軟正黑體"/>
        <scheme val="none"/>
      </font>
      <numFmt numFmtId="13" formatCode="0%"/>
      <fill>
        <patternFill patternType="solid">
          <fgColor indexed="64"/>
          <bgColor theme="0"/>
        </patternFill>
      </fill>
      <border diagonalUp="0" diagonalDown="0">
        <left/>
        <right style="thin">
          <color theme="0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thin">
          <color theme="0"/>
        </left>
        <right/>
        <top style="thin">
          <color theme="1"/>
        </top>
        <bottom style="medium">
          <color theme="0"/>
        </bottom>
      </border>
    </dxf>
    <dxf>
      <font>
        <strike val="0"/>
        <outline val="0"/>
        <shadow val="0"/>
        <u val="none"/>
        <vertAlign val="baseline"/>
        <name val="微軟正黑體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thin">
          <color theme="0"/>
        </left>
        <right/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scheme val="none"/>
      </font>
      <fill>
        <patternFill patternType="solid">
          <fgColor indexed="64"/>
          <bgColor theme="0"/>
        </patternFill>
      </fill>
      <border diagonalUp="0" diagonalDown="0" outline="0">
        <left/>
        <right style="thin">
          <color theme="0"/>
        </right>
        <top style="thin">
          <color theme="1"/>
        </top>
        <bottom style="medium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scheme val="none"/>
      </font>
      <fill>
        <patternFill patternType="solid">
          <fgColor indexed="64"/>
          <bgColor theme="0"/>
        </patternFill>
      </fill>
      <border diagonalUp="0" diagonalDown="0" outline="0">
        <left/>
        <right style="thin">
          <color theme="0"/>
        </right>
        <top style="thin">
          <color theme="1"/>
        </top>
        <bottom style="thin">
          <color theme="1"/>
        </bottom>
      </border>
    </dxf>
    <dxf>
      <border>
        <top style="thin">
          <color theme="1"/>
        </top>
      </border>
    </dxf>
    <dxf>
      <font>
        <strike val="0"/>
        <outline val="0"/>
        <shadow val="0"/>
        <u val="none"/>
        <vertAlign val="baseline"/>
        <name val="微軟正黑體"/>
        <scheme val="none"/>
      </font>
    </dxf>
    <dxf>
      <border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u val="none"/>
        <vertAlign val="baseline"/>
        <name val="微軟正黑體"/>
        <scheme val="none"/>
      </font>
    </dxf>
    <dxf>
      <border outline="0">
        <bottom style="medium">
          <color theme="1"/>
        </bottom>
      </border>
    </dxf>
    <dxf>
      <font>
        <strike val="0"/>
        <outline val="0"/>
        <shadow val="0"/>
        <u val="none"/>
        <vertAlign val="baseline"/>
        <name val="微軟正黑體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name val="微軟正黑體"/>
        <scheme val="none"/>
      </font>
      <fill>
        <patternFill patternType="solid">
          <fgColor indexed="64"/>
          <bgColor theme="0"/>
        </patternFill>
      </fill>
      <border diagonalUp="0" diagonalDown="0">
        <top style="thin">
          <color theme="1"/>
        </top>
        <bottom style="thin">
          <color theme="1"/>
        </bottom>
        <horizontal style="thin">
          <color theme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name val="微軟正黑體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theme="0"/>
        </left>
        <top style="thin">
          <color theme="1"/>
        </top>
        <bottom style="thin">
          <color theme="1"/>
        </bottom>
        <horizontal style="thin">
          <color theme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thin">
          <color theme="0"/>
        </left>
        <right/>
        <top/>
        <bottom/>
      </border>
    </dxf>
    <dxf>
      <font>
        <strike val="0"/>
        <outline val="0"/>
        <shadow val="0"/>
        <u val="none"/>
        <vertAlign val="baseline"/>
        <name val="微軟正黑體"/>
        <scheme val="none"/>
      </font>
      <numFmt numFmtId="13" formatCode="0%"/>
      <fill>
        <patternFill patternType="solid">
          <fgColor indexed="64"/>
          <bgColor theme="0"/>
        </patternFill>
      </fill>
      <border diagonalUp="0" diagonalDown="0">
        <left style="thin">
          <color theme="0"/>
        </left>
        <right/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strike val="0"/>
        <outline val="0"/>
        <shadow val="0"/>
        <u val="none"/>
        <vertAlign val="baseline"/>
        <name val="微軟正黑體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scheme val="none"/>
      </font>
      <fill>
        <patternFill patternType="solid">
          <fgColor indexed="64"/>
          <bgColor theme="0"/>
        </patternFill>
      </fill>
      <border diagonalUp="0" diagonalDown="0" outline="0">
        <left/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scheme val="none"/>
      </font>
      <fill>
        <patternFill patternType="solid">
          <fgColor indexed="64"/>
          <bgColor theme="0"/>
        </patternFill>
      </fill>
      <border diagonalUp="0" diagonalDown="0" outline="0">
        <left/>
        <right style="thin">
          <color theme="0"/>
        </right>
        <top style="thin">
          <color theme="1"/>
        </top>
        <bottom style="thin">
          <color theme="1"/>
        </bottom>
      </border>
    </dxf>
    <dxf>
      <border outline="0">
        <top style="thin">
          <color theme="1"/>
        </top>
      </border>
    </dxf>
    <dxf>
      <font>
        <strike val="0"/>
        <outline val="0"/>
        <shadow val="0"/>
        <u val="none"/>
        <vertAlign val="baseline"/>
        <name val="微軟正黑體"/>
        <scheme val="none"/>
      </font>
      <fill>
        <patternFill patternType="solid">
          <fgColor indexed="64"/>
          <bgColor theme="0"/>
        </patternFill>
      </fill>
    </dxf>
    <dxf>
      <border outline="0">
        <left style="thin">
          <color theme="0"/>
        </left>
        <right style="thin">
          <color theme="0"/>
        </right>
        <top style="thin">
          <color theme="0"/>
        </top>
        <bottom style="medium">
          <color theme="1"/>
        </bottom>
      </border>
    </dxf>
    <dxf>
      <font>
        <strike val="0"/>
        <outline val="0"/>
        <shadow val="0"/>
        <u val="none"/>
        <vertAlign val="baseline"/>
        <name val="微軟正黑體"/>
        <scheme val="none"/>
      </font>
      <fill>
        <patternFill patternType="solid">
          <fgColor indexed="64"/>
          <bgColor theme="0"/>
        </patternFill>
      </fill>
    </dxf>
    <dxf>
      <border outline="0">
        <bottom style="medium">
          <color theme="1"/>
        </bottom>
      </border>
    </dxf>
    <dxf>
      <font>
        <strike val="0"/>
        <outline val="0"/>
        <shadow val="0"/>
        <u val="none"/>
        <vertAlign val="baseline"/>
        <sz val="12"/>
        <color theme="1" tint="4.9989318521683403E-2"/>
        <name val="微軟正黑體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scheme val="none"/>
      </font>
      <border diagonalUp="0" diagonalDown="0" outline="0">
        <left style="thin">
          <color theme="0"/>
        </left>
        <right style="thin">
          <color theme="0"/>
        </right>
        <top style="thin">
          <color theme="1"/>
        </top>
        <bottom style="medium">
          <color theme="1"/>
        </bottom>
      </border>
    </dxf>
    <dxf>
      <font>
        <strike val="0"/>
        <outline val="0"/>
        <shadow val="0"/>
        <u val="none"/>
        <vertAlign val="baseline"/>
        <name val="微軟正黑體"/>
        <scheme val="none"/>
      </font>
      <numFmt numFmtId="13" formatCode="0%"/>
      <border diagonalUp="0" diagonalDown="0">
        <left style="thin">
          <color theme="0"/>
        </left>
        <right style="thin">
          <color theme="0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scheme val="none"/>
      </font>
      <border diagonalUp="0" diagonalDown="0" outline="0">
        <left style="thin">
          <color theme="0"/>
        </left>
        <right style="thin">
          <color theme="0"/>
        </right>
        <top style="thin">
          <color theme="1"/>
        </top>
        <bottom style="medium">
          <color theme="1"/>
        </bottom>
      </border>
    </dxf>
    <dxf>
      <font>
        <strike val="0"/>
        <outline val="0"/>
        <shadow val="0"/>
        <u val="none"/>
        <vertAlign val="baseline"/>
        <name val="微軟正黑體"/>
        <scheme val="none"/>
      </font>
      <border diagonalUp="0" diagonalDown="0" outline="0">
        <left style="thin">
          <color theme="0"/>
        </left>
        <right style="thin">
          <color theme="0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scheme val="none"/>
      </font>
      <border diagonalUp="0" diagonalDown="0" outline="0">
        <left style="thin">
          <color theme="0"/>
        </left>
        <right style="thin">
          <color theme="0"/>
        </right>
        <top style="thin">
          <color theme="1"/>
        </top>
        <bottom style="medium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scheme val="none"/>
      </font>
      <border diagonalUp="0" diagonalDown="0" outline="0">
        <left style="thin">
          <color theme="0"/>
        </left>
        <right style="thin">
          <color theme="0"/>
        </right>
        <top style="thin">
          <color theme="1"/>
        </top>
        <bottom style="thin">
          <color theme="1"/>
        </bottom>
      </border>
    </dxf>
    <dxf>
      <border outline="0">
        <top style="thin">
          <color theme="1"/>
        </top>
      </border>
    </dxf>
    <dxf>
      <font>
        <strike val="0"/>
        <outline val="0"/>
        <shadow val="0"/>
        <u val="none"/>
        <vertAlign val="baseline"/>
        <name val="微軟正黑體"/>
        <scheme val="none"/>
      </font>
    </dxf>
    <dxf>
      <font>
        <strike val="0"/>
        <outline val="0"/>
        <shadow val="0"/>
        <u val="none"/>
        <vertAlign val="baseline"/>
        <name val="微軟正黑體"/>
        <scheme val="none"/>
      </font>
    </dxf>
    <dxf>
      <border>
        <bottom style="medium">
          <color theme="1"/>
        </bottom>
      </border>
    </dxf>
    <dxf>
      <font>
        <strike val="0"/>
        <outline val="0"/>
        <shadow val="0"/>
        <u val="none"/>
        <vertAlign val="baseline"/>
        <name val="微軟正黑體"/>
        <scheme val="none"/>
      </font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scheme val="none"/>
      </font>
      <border diagonalUp="0" diagonalDown="0" outline="0">
        <left style="thin">
          <color theme="0"/>
        </left>
        <right/>
        <top style="thin">
          <color theme="1"/>
        </top>
        <bottom/>
      </border>
    </dxf>
    <dxf>
      <font>
        <strike val="0"/>
        <outline val="0"/>
        <shadow val="0"/>
        <u val="none"/>
        <vertAlign val="baseline"/>
        <name val="微軟正黑體"/>
        <scheme val="none"/>
      </font>
      <numFmt numFmtId="13" formatCode="0%"/>
      <border diagonalUp="0" diagonalDown="0">
        <left style="thin">
          <color theme="0"/>
        </left>
        <right/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scheme val="none"/>
      </font>
      <border diagonalUp="0" diagonalDown="0" outline="0">
        <left style="thin">
          <color theme="0"/>
        </left>
        <right style="thin">
          <color theme="0"/>
        </right>
        <top style="thin">
          <color theme="1"/>
        </top>
        <bottom/>
      </border>
    </dxf>
    <dxf>
      <font>
        <strike val="0"/>
        <outline val="0"/>
        <shadow val="0"/>
        <u val="none"/>
        <vertAlign val="baseline"/>
        <name val="微軟正黑體"/>
        <scheme val="none"/>
      </font>
      <border diagonalUp="0" diagonalDown="0" outline="0">
        <left style="thin">
          <color theme="0"/>
        </left>
        <right style="thin">
          <color theme="0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scheme val="none"/>
      </font>
      <border diagonalUp="0" diagonalDown="0" outline="0">
        <left/>
        <right style="thin">
          <color theme="0"/>
        </right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scheme val="none"/>
      </font>
      <border diagonalUp="0" diagonalDown="0" outline="0">
        <left/>
        <right style="thin">
          <color theme="0"/>
        </right>
        <top style="thin">
          <color theme="1"/>
        </top>
        <bottom style="thin">
          <color theme="1"/>
        </bottom>
      </border>
    </dxf>
    <dxf>
      <border outline="0">
        <top style="thin">
          <color theme="1"/>
        </top>
      </border>
    </dxf>
    <dxf>
      <font>
        <strike val="0"/>
        <outline val="0"/>
        <shadow val="0"/>
        <u val="none"/>
        <vertAlign val="baseline"/>
        <name val="微軟正黑體"/>
        <scheme val="none"/>
      </font>
    </dxf>
    <dxf>
      <border outline="0">
        <left style="thin">
          <color theme="0"/>
        </left>
        <right style="thin">
          <color theme="0"/>
        </right>
        <top style="thin">
          <color theme="0"/>
        </top>
        <bottom style="medium">
          <color theme="1"/>
        </bottom>
      </border>
    </dxf>
    <dxf>
      <font>
        <strike val="0"/>
        <outline val="0"/>
        <shadow val="0"/>
        <u val="none"/>
        <vertAlign val="baseline"/>
        <name val="微軟正黑體"/>
        <scheme val="none"/>
      </font>
    </dxf>
    <dxf>
      <border outline="0">
        <bottom style="medium">
          <color theme="1"/>
        </bottom>
      </border>
    </dxf>
    <dxf>
      <font>
        <strike val="0"/>
        <outline val="0"/>
        <shadow val="0"/>
        <u val="none"/>
        <vertAlign val="baseline"/>
        <name val="微軟正黑體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scheme val="none"/>
      </font>
      <border diagonalUp="0" diagonalDown="0" outline="0">
        <left style="thin">
          <color theme="0"/>
        </left>
        <right style="thin">
          <color theme="0"/>
        </right>
        <top style="thin">
          <color theme="1"/>
        </top>
        <bottom style="medium">
          <color theme="1"/>
        </bottom>
      </border>
    </dxf>
    <dxf>
      <font>
        <strike val="0"/>
        <outline val="0"/>
        <shadow val="0"/>
        <u val="none"/>
        <vertAlign val="baseline"/>
        <name val="微軟正黑體"/>
        <scheme val="none"/>
      </font>
      <numFmt numFmtId="13" formatCode="0%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scheme val="none"/>
      </font>
      <border diagonalUp="0" diagonalDown="0" outline="0">
        <left style="thin">
          <color theme="0"/>
        </left>
        <right style="thin">
          <color theme="0"/>
        </right>
        <top style="thin">
          <color theme="1"/>
        </top>
        <bottom style="medium">
          <color theme="1"/>
        </bottom>
      </border>
    </dxf>
    <dxf>
      <font>
        <strike val="0"/>
        <outline val="0"/>
        <shadow val="0"/>
        <u val="none"/>
        <vertAlign val="baseline"/>
        <name val="微軟正黑體"/>
        <scheme val="none"/>
      </font>
      <numFmt numFmtId="181" formatCode="_-&quot;$&quot;* #,##0_-;\-&quot;$&quot;* #,##0_-;_-&quot;$&quot;* &quot;-&quot;??_-;_-@_-"/>
      <fill>
        <patternFill patternType="solid">
          <fgColor indexed="64"/>
          <bgColor theme="0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scheme val="none"/>
      </font>
      <border diagonalUp="0" diagonalDown="0" outline="0">
        <left style="thin">
          <color theme="0"/>
        </left>
        <right style="thin">
          <color theme="0"/>
        </right>
        <top style="thin">
          <color theme="1"/>
        </top>
        <bottom style="medium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scheme val="none"/>
      </font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border>
        <top style="thin">
          <color theme="1"/>
        </top>
      </border>
    </dxf>
    <dxf>
      <font>
        <strike val="0"/>
        <outline val="0"/>
        <shadow val="0"/>
        <u val="none"/>
        <vertAlign val="baseline"/>
        <name val="微軟正黑體"/>
        <scheme val="none"/>
      </font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strike val="0"/>
        <outline val="0"/>
        <shadow val="0"/>
        <u val="none"/>
        <vertAlign val="baseline"/>
        <name val="微軟正黑體"/>
        <scheme val="none"/>
      </font>
    </dxf>
    <dxf>
      <border>
        <bottom style="medium">
          <color theme="1"/>
        </bottom>
      </border>
    </dxf>
    <dxf>
      <font>
        <strike val="0"/>
        <outline val="0"/>
        <shadow val="0"/>
        <u val="none"/>
        <vertAlign val="baseline"/>
        <name val="微軟正黑體"/>
        <scheme val="none"/>
      </font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strike val="0"/>
        <outline val="0"/>
        <shadow val="0"/>
        <u val="none"/>
        <vertAlign val="baseline"/>
        <sz val="12"/>
        <name val="微軟正黑體"/>
        <scheme val="none"/>
      </font>
    </dxf>
    <dxf>
      <font>
        <strike val="0"/>
        <outline val="0"/>
        <shadow val="0"/>
        <u val="none"/>
        <vertAlign val="baseline"/>
        <sz val="12"/>
        <name val="微軟正黑體"/>
        <scheme val="none"/>
      </font>
    </dxf>
    <dxf>
      <font>
        <strike val="0"/>
        <outline val="0"/>
        <shadow val="0"/>
        <u val="none"/>
        <vertAlign val="baseline"/>
        <sz val="12"/>
        <name val="微軟正黑體"/>
        <scheme val="none"/>
      </font>
    </dxf>
    <dxf>
      <font>
        <strike val="0"/>
        <outline val="0"/>
        <shadow val="0"/>
        <u val="none"/>
        <vertAlign val="baseline"/>
        <sz val="12"/>
        <name val="微軟正黑體"/>
        <scheme val="none"/>
      </font>
    </dxf>
    <dxf>
      <font>
        <strike val="0"/>
        <outline val="0"/>
        <shadow val="0"/>
        <u val="none"/>
        <vertAlign val="baseline"/>
        <sz val="12"/>
        <name val="微軟正黑體"/>
        <scheme val="none"/>
      </font>
    </dxf>
    <dxf>
      <font>
        <strike val="0"/>
        <outline val="0"/>
        <shadow val="0"/>
        <u val="none"/>
        <vertAlign val="baseline"/>
        <sz val="12"/>
        <name val="微軟正黑體"/>
        <scheme val="none"/>
      </font>
    </dxf>
    <dxf>
      <font>
        <strike val="0"/>
        <outline val="0"/>
        <shadow val="0"/>
        <u val="none"/>
        <vertAlign val="baseline"/>
        <sz val="12"/>
        <name val="微軟正黑體"/>
        <scheme val="none"/>
      </font>
    </dxf>
    <dxf>
      <font>
        <strike val="0"/>
        <outline val="0"/>
        <shadow val="0"/>
        <u val="none"/>
        <vertAlign val="baseline"/>
        <sz val="12"/>
        <name val="微軟正黑體"/>
        <scheme val="none"/>
      </font>
    </dxf>
    <dxf>
      <font>
        <strike val="0"/>
        <outline val="0"/>
        <shadow val="0"/>
        <u val="none"/>
        <vertAlign val="baseline"/>
        <sz val="12"/>
        <name val="微軟正黑體"/>
        <scheme val="none"/>
      </font>
    </dxf>
    <dxf>
      <font>
        <strike val="0"/>
        <outline val="0"/>
        <shadow val="0"/>
        <u val="none"/>
        <vertAlign val="baseline"/>
        <sz val="12"/>
        <name val="微軟正黑體"/>
        <scheme val="none"/>
      </font>
    </dxf>
    <dxf>
      <font>
        <strike val="0"/>
        <outline val="0"/>
        <shadow val="0"/>
        <u val="none"/>
        <vertAlign val="baseline"/>
        <sz val="12"/>
        <name val="微軟正黑體"/>
        <scheme val="none"/>
      </font>
    </dxf>
    <dxf>
      <font>
        <strike val="0"/>
        <outline val="0"/>
        <shadow val="0"/>
        <u val="none"/>
        <vertAlign val="baseline"/>
        <sz val="12"/>
        <name val="微軟正黑體"/>
        <scheme val="none"/>
      </font>
    </dxf>
    <dxf>
      <font>
        <strike val="0"/>
        <outline val="0"/>
        <shadow val="0"/>
        <u val="none"/>
        <vertAlign val="baseline"/>
        <sz val="12"/>
        <name val="微軟正黑體"/>
        <scheme val="none"/>
      </font>
    </dxf>
    <dxf>
      <font>
        <strike val="0"/>
        <outline val="0"/>
        <shadow val="0"/>
        <u val="none"/>
        <vertAlign val="baseline"/>
        <sz val="12"/>
        <name val="微軟正黑體"/>
        <scheme val="none"/>
      </font>
    </dxf>
    <dxf>
      <font>
        <strike val="0"/>
        <outline val="0"/>
        <shadow val="0"/>
        <u val="none"/>
        <vertAlign val="baseline"/>
        <sz val="12"/>
        <name val="微軟正黑體"/>
        <scheme val="none"/>
      </font>
    </dxf>
    <dxf>
      <font>
        <strike val="0"/>
        <outline val="0"/>
        <shadow val="0"/>
        <u val="none"/>
        <vertAlign val="baseline"/>
        <sz val="12"/>
        <name val="微軟正黑體"/>
        <scheme val="none"/>
      </font>
    </dxf>
    <dxf>
      <font>
        <strike val="0"/>
        <outline val="0"/>
        <shadow val="0"/>
        <u val="none"/>
        <vertAlign val="baseline"/>
        <sz val="12"/>
        <name val="微軟正黑體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微軟正黑體"/>
        <scheme val="none"/>
      </font>
      <alignment horizontal="general" vertical="bottom" textRotation="0" wrapText="0" indent="0" relativeIndent="255" justifyLastLine="0" shrinkToFit="0" readingOrder="0"/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FF0000"/>
      </font>
    </dxf>
    <dxf>
      <font>
        <color theme="1" tint="0.24994659260841701"/>
      </font>
      <border>
        <top style="double">
          <color theme="4"/>
        </top>
      </border>
    </dxf>
    <dxf>
      <font>
        <b/>
        <i val="0"/>
        <color theme="1" tint="0.34998626667073579"/>
      </font>
      <fill>
        <patternFill patternType="none">
          <fgColor indexed="64"/>
          <bgColor auto="1"/>
        </patternFill>
      </fill>
      <border>
        <left/>
        <right/>
        <top/>
        <bottom style="thin">
          <color auto="1"/>
        </bottom>
        <vertical style="thin">
          <color theme="2" tint="-9.9948118533890809E-2"/>
        </vertical>
        <horizontal style="thin">
          <color theme="2" tint="-9.9948118533890809E-2"/>
        </horizontal>
      </border>
    </dxf>
    <dxf>
      <font>
        <color theme="1" tint="0.24994659260841701"/>
      </font>
      <border>
        <left/>
        <right/>
        <top style="thin">
          <color theme="2" tint="-9.9948118533890809E-2"/>
        </top>
        <bottom style="thin">
          <color theme="2" tint="-9.9948118533890809E-2"/>
        </bottom>
        <vertical style="thin">
          <color theme="2" tint="-9.9948118533890809E-2"/>
        </vertical>
        <horizontal style="thin">
          <color theme="2" tint="-9.9948118533890809E-2"/>
        </horizontal>
      </border>
    </dxf>
    <dxf>
      <font>
        <color theme="1" tint="0.24994659260841701"/>
      </font>
      <border>
        <top style="double">
          <color theme="4"/>
        </top>
      </border>
    </dxf>
    <dxf>
      <font>
        <b/>
        <i val="0"/>
        <color theme="1" tint="0.34998626667073579"/>
      </font>
      <fill>
        <patternFill patternType="none">
          <fgColor indexed="64"/>
          <bgColor auto="1"/>
        </patternFill>
      </fill>
      <border>
        <left/>
        <right/>
        <top/>
        <bottom style="thin">
          <color auto="1"/>
        </bottom>
        <vertical style="thin">
          <color theme="2" tint="-9.9948118533890809E-2"/>
        </vertical>
        <horizontal style="thin">
          <color theme="2" tint="-9.9948118533890809E-2"/>
        </horizontal>
      </border>
    </dxf>
    <dxf>
      <font>
        <color theme="1" tint="0.24994659260841701"/>
      </font>
      <fill>
        <patternFill>
          <bgColor theme="0" tint="-0.14996795556505021"/>
        </patternFill>
      </fill>
      <border>
        <left/>
        <right/>
        <top style="thin">
          <color theme="2" tint="-9.9948118533890809E-2"/>
        </top>
        <bottom style="thin">
          <color theme="2" tint="-9.9948118533890809E-2"/>
        </bottom>
        <vertical style="thin">
          <color theme="2" tint="-9.9948118533890809E-2"/>
        </vertical>
        <horizontal style="thin">
          <color theme="2" tint="-9.9948118533890809E-2"/>
        </horizontal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strike val="0"/>
      </font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top style="thick">
          <color auto="1"/>
        </top>
        <bottom style="thick">
          <color auto="1"/>
        </bottom>
        <horizontal style="thin">
          <color auto="1"/>
        </horizontal>
      </border>
    </dxf>
    <dxf>
      <border>
        <top style="thick">
          <color auto="1"/>
        </top>
        <bottom style="thick">
          <color auto="1"/>
        </bottom>
      </border>
    </dxf>
    <dxf>
      <border>
        <bottom style="thick">
          <color auto="1"/>
        </bottom>
      </border>
    </dxf>
    <dxf>
      <border>
        <left/>
        <top style="thin">
          <color auto="1"/>
        </top>
        <bottom style="thin">
          <color auto="1"/>
        </bottom>
        <horizontal style="thin">
          <color auto="1"/>
        </horizontal>
      </border>
    </dxf>
    <dxf>
      <font>
        <name val="微軟正黑體"/>
        <scheme val="none"/>
      </font>
    </dxf>
    <dxf>
      <font>
        <strike val="0"/>
      </font>
    </dxf>
  </dxfs>
  <tableStyles count="8" defaultTableStyle="表格樣式 4" defaultPivotStyle="PivotStyleLight16">
    <tableStyle name="交叉分析篩選器樣式 1" pivot="0" table="0" count="2">
      <tableStyleElement type="wholeTable" dxfId="155"/>
      <tableStyleElement type="headerRow" dxfId="154"/>
    </tableStyle>
    <tableStyle name="交叉分析篩選器樣式 2" pivot="0" table="0" count="0"/>
    <tableStyle name="表格樣式 1" pivot="0" count="4">
      <tableStyleElement type="wholeTable" dxfId="153"/>
      <tableStyleElement type="headerRow" dxfId="152"/>
      <tableStyleElement type="totalRow" dxfId="151"/>
      <tableStyleElement type="secondRowStripe" dxfId="150"/>
    </tableStyle>
    <tableStyle name="表格樣式 2" pivot="0" count="2">
      <tableStyleElement type="wholeTable" dxfId="149"/>
      <tableStyleElement type="headerRow" dxfId="148"/>
    </tableStyle>
    <tableStyle name="表格樣式 3" pivot="0" count="1">
      <tableStyleElement type="wholeTable" dxfId="147"/>
    </tableStyle>
    <tableStyle name="表格樣式 4" pivot="0" count="1">
      <tableStyleElement type="wholeTable" dxfId="146"/>
    </tableStyle>
    <tableStyle name="貸款分期償還排程" pivot="0" count="3">
      <tableStyleElement type="wholeTable" dxfId="145"/>
      <tableStyleElement type="headerRow" dxfId="144"/>
      <tableStyleElement type="totalRow" dxfId="143"/>
    </tableStyle>
    <tableStyle name="貸款分期償還排程 2" pivot="0" count="3">
      <tableStyleElement type="wholeTable" dxfId="142"/>
      <tableStyleElement type="headerRow" dxfId="141"/>
      <tableStyleElement type="totalRow" dxfId="140"/>
    </tableStyle>
  </tableStyles>
  <colors>
    <mruColors>
      <color rgb="FF2F6EC7"/>
      <color rgb="FFBCC6FF"/>
      <color rgb="FF6494DA"/>
      <color rgb="FF224E9F"/>
      <color rgb="FF0F2453"/>
      <color rgb="FF21509A"/>
      <color rgb="FF224192"/>
      <color rgb="FF3883D4"/>
      <color rgb="FF719DFF"/>
      <color rgb="FFC49DDF"/>
    </mruColors>
  </colors>
  <extLst>
    <ext xmlns:x14="http://schemas.microsoft.com/office/spreadsheetml/2009/9/main" uri="{46F421CA-312F-682f-3DD2-61675219B42D}">
      <x14:dxfs count="1">
        <dxf>
          <fill>
            <patternFill>
              <fgColor rgb="FF719DFF"/>
            </patternFill>
          </fill>
          <border diagonalUp="0" diagonalDown="0">
            <left/>
            <right/>
            <top/>
            <bottom/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交叉分析篩選器樣式 1"/>
        <x14:slicerStyle name="交叉分析篩選器樣式 2">
          <x14:slicerStyleElements>
            <x14:slicerStyleElement type="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TW"/>
  <c:chart>
    <c:plotArea>
      <c:layout/>
      <c:barChart>
        <c:barDir val="col"/>
        <c:grouping val="percentStacked"/>
        <c:ser>
          <c:idx val="0"/>
          <c:order val="0"/>
          <c:tx>
            <c:strRef>
              <c:f>支出規劃!#REF!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val>
            <c:numRef>
              <c:f>支出規劃!#REF!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6EE-4216-868E-0BA972F68D1C}"/>
            </c:ext>
          </c:extLst>
        </c:ser>
        <c:ser>
          <c:idx val="1"/>
          <c:order val="1"/>
          <c:tx>
            <c:strRef>
              <c:f>支出規劃!#REF!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val>
            <c:numRef>
              <c:f>支出規劃!#REF!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96EE-4216-868E-0BA972F68D1C}"/>
            </c:ext>
          </c:extLst>
        </c:ser>
        <c:ser>
          <c:idx val="2"/>
          <c:order val="2"/>
          <c:tx>
            <c:strRef>
              <c:f>支出規劃!#REF!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val>
            <c:numRef>
              <c:f>支出規劃!#REF!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96EE-4216-868E-0BA972F68D1C}"/>
            </c:ext>
          </c:extLst>
        </c:ser>
        <c:ser>
          <c:idx val="3"/>
          <c:order val="3"/>
          <c:tx>
            <c:strRef>
              <c:f>支出規劃!#REF!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val>
            <c:numRef>
              <c:f>支出規劃!#REF!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96EE-4216-868E-0BA972F68D1C}"/>
            </c:ext>
          </c:extLst>
        </c:ser>
        <c:ser>
          <c:idx val="4"/>
          <c:order val="4"/>
          <c:tx>
            <c:strRef>
              <c:f>支出規劃!#REF!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val>
            <c:numRef>
              <c:f>支出規劃!#REF!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96EE-4216-868E-0BA972F68D1C}"/>
            </c:ext>
          </c:extLst>
        </c:ser>
        <c:ser>
          <c:idx val="5"/>
          <c:order val="5"/>
          <c:tx>
            <c:strRef>
              <c:f>支出規劃!#REF!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val>
            <c:numRef>
              <c:f>支出規劃!#REF!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96EE-4216-868E-0BA972F68D1C}"/>
            </c:ext>
          </c:extLst>
        </c:ser>
        <c:gapWidth val="219"/>
        <c:overlap val="100"/>
        <c:axId val="132503424"/>
        <c:axId val="132504960"/>
      </c:barChart>
      <c:catAx>
        <c:axId val="132503424"/>
        <c:scaling>
          <c:orientation val="minMax"/>
        </c:scaling>
        <c:axPos val="b"/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32504960"/>
        <c:crosses val="autoZero"/>
        <c:auto val="1"/>
        <c:lblAlgn val="ctr"/>
        <c:lblOffset val="100"/>
      </c:catAx>
      <c:valAx>
        <c:axId val="132504960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32503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TW"/>
  <c:chart>
    <c:title>
      <c:layout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plotArea>
      <c:layout/>
      <c:barChart>
        <c:barDir val="col"/>
        <c:grouping val="clustered"/>
        <c:ser>
          <c:idx val="0"/>
          <c:order val="0"/>
          <c:tx>
            <c:strRef>
              <c:f>收入規劃!$B$53</c:f>
              <c:strCache>
                <c:ptCount val="1"/>
                <c:pt idx="0">
                  <c:v>短期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cat>
            <c:strRef>
              <c:f>收入規劃!$D$52:$O$52</c:f>
              <c:strCache>
                <c:ptCount val="12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</c:strCache>
            </c:strRef>
          </c:cat>
          <c:val>
            <c:numRef>
              <c:f>收入規劃!$D$53:$O$53</c:f>
              <c:numCache>
                <c:formatCode>#,##0</c:formatCode>
                <c:ptCount val="12"/>
                <c:pt idx="0">
                  <c:v>1000</c:v>
                </c:pt>
                <c:pt idx="1">
                  <c:v>954</c:v>
                </c:pt>
                <c:pt idx="2">
                  <c:v>1111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690-4882-83E8-C3845A170045}"/>
            </c:ext>
          </c:extLst>
        </c:ser>
        <c:ser>
          <c:idx val="1"/>
          <c:order val="1"/>
          <c:tx>
            <c:strRef>
              <c:f>收入規劃!$B$54</c:f>
              <c:strCache>
                <c:ptCount val="1"/>
                <c:pt idx="0">
                  <c:v>中期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cat>
            <c:strRef>
              <c:f>收入規劃!$D$52:$O$52</c:f>
              <c:strCache>
                <c:ptCount val="12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</c:strCache>
            </c:strRef>
          </c:cat>
          <c:val>
            <c:numRef>
              <c:f>收入規劃!$D$54:$O$54</c:f>
              <c:numCache>
                <c:formatCode>#,##0</c:formatCode>
                <c:ptCount val="12"/>
                <c:pt idx="0">
                  <c:v>2000</c:v>
                </c:pt>
                <c:pt idx="1">
                  <c:v>1500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9690-4882-83E8-C3845A170045}"/>
            </c:ext>
          </c:extLst>
        </c:ser>
        <c:axId val="132894720"/>
        <c:axId val="132896256"/>
      </c:barChart>
      <c:lineChart>
        <c:grouping val="standard"/>
        <c:ser>
          <c:idx val="2"/>
          <c:order val="2"/>
          <c:tx>
            <c:strRef>
              <c:f>收入規劃!$B$55</c:f>
              <c:strCache>
                <c:ptCount val="1"/>
                <c:pt idx="0">
                  <c:v>長期</c:v>
                </c:pt>
              </c:strCache>
            </c:strRef>
          </c:tx>
          <c:spPr>
            <a:ln w="28575" cap="rnd">
              <a:solidFill>
                <a:srgbClr val="2AA0A4"/>
              </a:solidFill>
              <a:round/>
            </a:ln>
            <a:effectLst/>
          </c:spPr>
          <c:marker>
            <c:symbol val="none"/>
          </c:marker>
          <c:cat>
            <c:strRef>
              <c:f>收入規劃!$D$52:$O$52</c:f>
              <c:strCache>
                <c:ptCount val="12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</c:strCache>
            </c:strRef>
          </c:cat>
          <c:val>
            <c:numRef>
              <c:f>收入規劃!$D$55:$O$55</c:f>
              <c:numCache>
                <c:formatCode>#,##0</c:formatCode>
                <c:ptCount val="12"/>
                <c:pt idx="0">
                  <c:v>1500</c:v>
                </c:pt>
                <c:pt idx="1">
                  <c:v>1600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9690-4882-83E8-C3845A170045}"/>
            </c:ext>
          </c:extLst>
        </c:ser>
        <c:ser>
          <c:idx val="3"/>
          <c:order val="3"/>
          <c:tx>
            <c:strRef>
              <c:f>{"累積報酬"}</c:f>
              <c:strCache>
                <c:ptCount val="1"/>
                <c:pt idx="0">
                  <c:v>累積報酬</c:v>
                </c:pt>
              </c:strCache>
            </c:strRef>
          </c:tx>
          <c:spPr>
            <a:ln w="28575" cap="rnd">
              <a:solidFill>
                <a:srgbClr val="9373C0"/>
              </a:solidFill>
              <a:round/>
            </a:ln>
            <a:effectLst/>
          </c:spPr>
          <c:marker>
            <c:symbol val="none"/>
          </c:marker>
          <c:cat>
            <c:strRef>
              <c:f>收入規劃!$D$52:$O$52</c:f>
              <c:strCache>
                <c:ptCount val="12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</c:strCache>
            </c:strRef>
          </c:cat>
          <c:val>
            <c:numRef>
              <c:f>收入規劃!$D$57:$O$57</c:f>
              <c:numCache>
                <c:formatCode>#,##0</c:formatCode>
                <c:ptCount val="12"/>
                <c:pt idx="0">
                  <c:v>4500</c:v>
                </c:pt>
                <c:pt idx="1">
                  <c:v>8554</c:v>
                </c:pt>
                <c:pt idx="2">
                  <c:v>9665</c:v>
                </c:pt>
                <c:pt idx="3">
                  <c:v>9665</c:v>
                </c:pt>
                <c:pt idx="4">
                  <c:v>9665</c:v>
                </c:pt>
                <c:pt idx="5">
                  <c:v>9665</c:v>
                </c:pt>
                <c:pt idx="6">
                  <c:v>9665</c:v>
                </c:pt>
                <c:pt idx="7">
                  <c:v>9665</c:v>
                </c:pt>
                <c:pt idx="8">
                  <c:v>9665</c:v>
                </c:pt>
                <c:pt idx="9">
                  <c:v>9665</c:v>
                </c:pt>
                <c:pt idx="10">
                  <c:v>9665</c:v>
                </c:pt>
                <c:pt idx="11">
                  <c:v>9665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9690-4882-83E8-C3845A170045}"/>
            </c:ext>
          </c:extLst>
        </c:ser>
        <c:marker val="1"/>
        <c:axId val="134222592"/>
        <c:axId val="132897792"/>
      </c:lineChart>
      <c:catAx>
        <c:axId val="132894720"/>
        <c:scaling>
          <c:orientation val="minMax"/>
        </c:scaling>
        <c:axPos val="b"/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32896256"/>
        <c:crosses val="autoZero"/>
        <c:auto val="1"/>
        <c:lblAlgn val="ctr"/>
        <c:lblOffset val="100"/>
      </c:catAx>
      <c:valAx>
        <c:axId val="132896256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in"/>
        <c:minorTickMark val="out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32894720"/>
        <c:crosses val="autoZero"/>
        <c:crossBetween val="between"/>
      </c:valAx>
      <c:valAx>
        <c:axId val="132897792"/>
        <c:scaling>
          <c:orientation val="minMax"/>
        </c:scaling>
        <c:axPos val="r"/>
        <c:numFmt formatCode="#,##0" sourceLinked="1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34222592"/>
        <c:crosses val="max"/>
        <c:crossBetween val="between"/>
      </c:valAx>
      <c:catAx>
        <c:axId val="134222592"/>
        <c:scaling>
          <c:orientation val="minMax"/>
        </c:scaling>
        <c:delete val="1"/>
        <c:axPos val="b"/>
        <c:numFmt formatCode="General" sourceLinked="1"/>
        <c:tickLblPos val="none"/>
        <c:crossAx val="132897792"/>
        <c:crosses val="autoZero"/>
        <c:auto val="1"/>
        <c:lblAlgn val="ctr"/>
        <c:lblOffset val="100"/>
      </c:catAx>
      <c:spPr>
        <a:noFill/>
        <a:ln>
          <a:noFill/>
        </a:ln>
        <a:effectLst/>
      </c:spPr>
    </c:plotArea>
    <c:legend>
      <c:legendPos val="b"/>
      <c:layout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26</xdr:col>
      <xdr:colOff>67738</xdr:colOff>
      <xdr:row>48</xdr:row>
      <xdr:rowOff>9524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xmlns="" id="{B6AF578E-AEE2-42CB-0AED-0CE9FEC5BC02}"/>
            </a:ext>
          </a:extLst>
        </xdr:cNvPr>
        <xdr:cNvSpPr>
          <a:spLocks noChangeAspect="1"/>
        </xdr:cNvSpPr>
      </xdr:nvSpPr>
      <xdr:spPr>
        <a:xfrm>
          <a:off x="0" y="0"/>
          <a:ext cx="17898538" cy="10067924"/>
        </a:xfrm>
        <a:prstGeom prst="rect">
          <a:avLst/>
        </a:prstGeom>
        <a:gradFill>
          <a:gsLst>
            <a:gs pos="0">
              <a:srgbClr val="3883D4"/>
            </a:gs>
            <a:gs pos="75000">
              <a:srgbClr val="224192"/>
            </a:gs>
          </a:gsLst>
          <a:lin ang="4200000" scaled="0"/>
        </a:gradFill>
        <a:ln w="38100"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tIns="0" rtlCol="0" anchor="t"/>
        <a:lstStyle/>
        <a:p>
          <a:pPr algn="ctr"/>
          <a:endParaRPr lang="zh-TW" altLang="en-US" sz="1400" b="1">
            <a:solidFill>
              <a:schemeClr val="tx1">
                <a:lumMod val="75000"/>
                <a:lumOff val="25000"/>
              </a:schemeClr>
            </a:solidFill>
            <a:latin typeface="微軟正黑體" panose="020B0604030504040204" pitchFamily="34" charset="-120"/>
            <a:ea typeface="微軟正黑體" panose="020B0604030504040204" pitchFamily="34" charset="-120"/>
          </a:endParaRPr>
        </a:p>
      </xdr:txBody>
    </xdr:sp>
    <xdr:clientData/>
  </xdr:twoCellAnchor>
  <xdr:twoCellAnchor>
    <xdr:from>
      <xdr:col>3</xdr:col>
      <xdr:colOff>149714</xdr:colOff>
      <xdr:row>0</xdr:row>
      <xdr:rowOff>85725</xdr:rowOff>
    </xdr:from>
    <xdr:to>
      <xdr:col>22</xdr:col>
      <xdr:colOff>603825</xdr:colOff>
      <xdr:row>40</xdr:row>
      <xdr:rowOff>19050</xdr:rowOff>
    </xdr:to>
    <xdr:sp macro="" textlink="">
      <xdr:nvSpPr>
        <xdr:cNvPr id="3" name="矩形: 圓角 2">
          <a:extLst>
            <a:ext uri="{FF2B5EF4-FFF2-40B4-BE49-F238E27FC236}">
              <a16:creationId xmlns:a16="http://schemas.microsoft.com/office/drawing/2014/main" xmlns="" id="{363EADF6-06F6-4142-A1F7-9AEA6AF57A7C}"/>
            </a:ext>
          </a:extLst>
        </xdr:cNvPr>
        <xdr:cNvSpPr>
          <a:spLocks noChangeAspect="1"/>
        </xdr:cNvSpPr>
      </xdr:nvSpPr>
      <xdr:spPr>
        <a:xfrm>
          <a:off x="2207114" y="85725"/>
          <a:ext cx="13484311" cy="8315325"/>
        </a:xfrm>
        <a:prstGeom prst="roundRect">
          <a:avLst>
            <a:gd name="adj" fmla="val 3435"/>
          </a:avLst>
        </a:prstGeom>
        <a:gradFill flip="none" rotWithShape="1">
          <a:gsLst>
            <a:gs pos="0">
              <a:srgbClr val="21509A"/>
            </a:gs>
            <a:gs pos="55000">
              <a:srgbClr val="0F2453"/>
            </a:gs>
          </a:gsLst>
          <a:lin ang="8100000" scaled="1"/>
          <a:tileRect/>
        </a:gradFill>
        <a:ln w="9525">
          <a:gradFill>
            <a:gsLst>
              <a:gs pos="0">
                <a:srgbClr val="6494DA"/>
              </a:gs>
              <a:gs pos="50000">
                <a:srgbClr val="BCC6FF"/>
              </a:gs>
              <a:gs pos="95000">
                <a:srgbClr val="2F6EC7"/>
              </a:gs>
            </a:gsLst>
            <a:lin ang="5400000" scaled="1"/>
          </a:gradFill>
        </a:ln>
        <a:effectLst>
          <a:outerShdw blurRad="508000" dist="190500" dir="8100000" algn="tr" rotWithShape="0">
            <a:prstClr val="black">
              <a:alpha val="50000"/>
            </a:prst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tIns="0" rtlCol="0" anchor="t"/>
        <a:lstStyle/>
        <a:p>
          <a:pPr algn="ctr"/>
          <a:endParaRPr lang="zh-TW" altLang="en-US" sz="1400" b="1">
            <a:solidFill>
              <a:schemeClr val="tx1">
                <a:lumMod val="75000"/>
                <a:lumOff val="25000"/>
              </a:schemeClr>
            </a:solidFill>
            <a:latin typeface="微軟正黑體" panose="020B0604030504040204" pitchFamily="34" charset="-120"/>
            <a:ea typeface="微軟正黑體" panose="020B0604030504040204" pitchFamily="34" charset="-120"/>
          </a:endParaRPr>
        </a:p>
      </xdr:txBody>
    </xdr:sp>
    <xdr:clientData/>
  </xdr:twoCellAnchor>
  <xdr:twoCellAnchor>
    <xdr:from>
      <xdr:col>3</xdr:col>
      <xdr:colOff>542925</xdr:colOff>
      <xdr:row>1</xdr:row>
      <xdr:rowOff>161924</xdr:rowOff>
    </xdr:from>
    <xdr:to>
      <xdr:col>7</xdr:col>
      <xdr:colOff>573541</xdr:colOff>
      <xdr:row>8</xdr:row>
      <xdr:rowOff>133349</xdr:rowOff>
    </xdr:to>
    <xdr:sp macro="" textlink="">
      <xdr:nvSpPr>
        <xdr:cNvPr id="4" name="矩形: 圓角 3">
          <a:extLst>
            <a:ext uri="{FF2B5EF4-FFF2-40B4-BE49-F238E27FC236}">
              <a16:creationId xmlns:a16="http://schemas.microsoft.com/office/drawing/2014/main" xmlns="" id="{F4307814-770E-4308-8616-054DDB2519EA}"/>
            </a:ext>
          </a:extLst>
        </xdr:cNvPr>
        <xdr:cNvSpPr>
          <a:spLocks noChangeAspect="1"/>
        </xdr:cNvSpPr>
      </xdr:nvSpPr>
      <xdr:spPr>
        <a:xfrm>
          <a:off x="2600325" y="371474"/>
          <a:ext cx="2773816" cy="1438275"/>
        </a:xfrm>
        <a:prstGeom prst="roundRect">
          <a:avLst>
            <a:gd name="adj" fmla="val 8058"/>
          </a:avLst>
        </a:prstGeom>
        <a:gradFill>
          <a:gsLst>
            <a:gs pos="0">
              <a:srgbClr val="2F6EC7"/>
            </a:gs>
            <a:gs pos="85000">
              <a:srgbClr val="224E9F"/>
            </a:gs>
          </a:gsLst>
          <a:lin ang="2700000" scaled="0"/>
        </a:gradFill>
        <a:ln w="9525">
          <a:gradFill>
            <a:gsLst>
              <a:gs pos="0">
                <a:srgbClr val="6494DA"/>
              </a:gs>
              <a:gs pos="50000">
                <a:srgbClr val="BCC6FF"/>
              </a:gs>
              <a:gs pos="100000">
                <a:srgbClr val="2F6EC7"/>
              </a:gs>
            </a:gsLst>
            <a:lin ang="5400000" scaled="1"/>
          </a:gradFill>
        </a:ln>
        <a:effectLst>
          <a:outerShdw blurRad="190500" dist="101600" dir="8100000" algn="ctr" rotWithShape="0">
            <a:srgbClr val="000000">
              <a:alpha val="80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tIns="0" rtlCol="0" anchor="t"/>
        <a:lstStyle/>
        <a:p>
          <a:pPr algn="ctr"/>
          <a:endParaRPr lang="zh-TW" altLang="en-US" sz="1400" b="1">
            <a:solidFill>
              <a:schemeClr val="tx1">
                <a:lumMod val="75000"/>
                <a:lumOff val="25000"/>
              </a:schemeClr>
            </a:solidFill>
            <a:latin typeface="微軟正黑體" panose="020B0604030504040204" pitchFamily="34" charset="-120"/>
            <a:ea typeface="微軟正黑體" panose="020B0604030504040204" pitchFamily="34" charset="-120"/>
          </a:endParaRPr>
        </a:p>
      </xdr:txBody>
    </xdr:sp>
    <xdr:clientData/>
  </xdr:twoCellAnchor>
  <xdr:twoCellAnchor>
    <xdr:from>
      <xdr:col>8</xdr:col>
      <xdr:colOff>316109</xdr:colOff>
      <xdr:row>1</xdr:row>
      <xdr:rowOff>161924</xdr:rowOff>
    </xdr:from>
    <xdr:to>
      <xdr:col>12</xdr:col>
      <xdr:colOff>346725</xdr:colOff>
      <xdr:row>8</xdr:row>
      <xdr:rowOff>133349</xdr:rowOff>
    </xdr:to>
    <xdr:sp macro="" textlink="">
      <xdr:nvSpPr>
        <xdr:cNvPr id="6" name="矩形: 圓角 5">
          <a:extLst>
            <a:ext uri="{FF2B5EF4-FFF2-40B4-BE49-F238E27FC236}">
              <a16:creationId xmlns:a16="http://schemas.microsoft.com/office/drawing/2014/main" xmlns="" id="{87BAC43F-B95F-CCE8-1888-BF2047F0DB85}"/>
            </a:ext>
          </a:extLst>
        </xdr:cNvPr>
        <xdr:cNvSpPr>
          <a:spLocks noChangeAspect="1"/>
        </xdr:cNvSpPr>
      </xdr:nvSpPr>
      <xdr:spPr>
        <a:xfrm>
          <a:off x="5802509" y="371474"/>
          <a:ext cx="2773816" cy="1438275"/>
        </a:xfrm>
        <a:prstGeom prst="roundRect">
          <a:avLst>
            <a:gd name="adj" fmla="val 8058"/>
          </a:avLst>
        </a:prstGeom>
        <a:gradFill>
          <a:gsLst>
            <a:gs pos="0">
              <a:srgbClr val="2F6EC7"/>
            </a:gs>
            <a:gs pos="85000">
              <a:srgbClr val="224E9F"/>
            </a:gs>
          </a:gsLst>
          <a:lin ang="2700000" scaled="0"/>
        </a:gradFill>
        <a:ln w="9525">
          <a:gradFill>
            <a:gsLst>
              <a:gs pos="0">
                <a:srgbClr val="6494DA"/>
              </a:gs>
              <a:gs pos="50000">
                <a:srgbClr val="BCC6FF"/>
              </a:gs>
              <a:gs pos="100000">
                <a:srgbClr val="2F6EC7"/>
              </a:gs>
            </a:gsLst>
            <a:lin ang="5400000" scaled="1"/>
          </a:gradFill>
        </a:ln>
        <a:effectLst>
          <a:outerShdw blurRad="190500" dist="101600" dir="8100000" algn="ctr" rotWithShape="0">
            <a:srgbClr val="000000">
              <a:alpha val="80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tIns="0" rtlCol="0" anchor="t"/>
        <a:lstStyle/>
        <a:p>
          <a:pPr algn="ctr"/>
          <a:endParaRPr lang="zh-TW" altLang="en-US" sz="1400" b="1">
            <a:solidFill>
              <a:schemeClr val="tx1">
                <a:lumMod val="75000"/>
                <a:lumOff val="25000"/>
              </a:schemeClr>
            </a:solidFill>
            <a:latin typeface="微軟正黑體" panose="020B0604030504040204" pitchFamily="34" charset="-120"/>
            <a:ea typeface="微軟正黑體" panose="020B0604030504040204" pitchFamily="34" charset="-120"/>
          </a:endParaRPr>
        </a:p>
      </xdr:txBody>
    </xdr:sp>
    <xdr:clientData/>
  </xdr:twoCellAnchor>
  <xdr:twoCellAnchor>
    <xdr:from>
      <xdr:col>3</xdr:col>
      <xdr:colOff>542925</xdr:colOff>
      <xdr:row>10</xdr:row>
      <xdr:rowOff>57149</xdr:rowOff>
    </xdr:from>
    <xdr:to>
      <xdr:col>12</xdr:col>
      <xdr:colOff>346725</xdr:colOff>
      <xdr:row>23</xdr:row>
      <xdr:rowOff>58894</xdr:rowOff>
    </xdr:to>
    <xdr:sp macro="" textlink="">
      <xdr:nvSpPr>
        <xdr:cNvPr id="7" name="矩形: 圓角 6">
          <a:extLst>
            <a:ext uri="{FF2B5EF4-FFF2-40B4-BE49-F238E27FC236}">
              <a16:creationId xmlns:a16="http://schemas.microsoft.com/office/drawing/2014/main" xmlns="" id="{039FC3E6-4DCA-7A4F-71D1-840F9FCD6740}"/>
            </a:ext>
          </a:extLst>
        </xdr:cNvPr>
        <xdr:cNvSpPr>
          <a:spLocks noChangeAspect="1"/>
        </xdr:cNvSpPr>
      </xdr:nvSpPr>
      <xdr:spPr>
        <a:xfrm>
          <a:off x="2600325" y="2152649"/>
          <a:ext cx="5976000" cy="2725895"/>
        </a:xfrm>
        <a:prstGeom prst="roundRect">
          <a:avLst>
            <a:gd name="adj" fmla="val 5279"/>
          </a:avLst>
        </a:prstGeom>
        <a:gradFill>
          <a:gsLst>
            <a:gs pos="0">
              <a:srgbClr val="2F6EC7"/>
            </a:gs>
            <a:gs pos="85000">
              <a:srgbClr val="224E9F"/>
            </a:gs>
          </a:gsLst>
          <a:lin ang="2700000" scaled="0"/>
        </a:gradFill>
        <a:ln w="9525">
          <a:gradFill>
            <a:gsLst>
              <a:gs pos="0">
                <a:srgbClr val="6494DA"/>
              </a:gs>
              <a:gs pos="50000">
                <a:srgbClr val="BCC6FF"/>
              </a:gs>
              <a:gs pos="100000">
                <a:srgbClr val="2F6EC7"/>
              </a:gs>
            </a:gsLst>
            <a:lin ang="5400000" scaled="1"/>
          </a:gradFill>
        </a:ln>
        <a:effectLst>
          <a:outerShdw blurRad="190500" dist="101600" dir="8100000" algn="ctr" rotWithShape="0">
            <a:srgbClr val="000000">
              <a:alpha val="80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tIns="0" rtlCol="0" anchor="t"/>
        <a:lstStyle/>
        <a:p>
          <a:pPr marL="0" indent="0" algn="ctr"/>
          <a:endParaRPr lang="zh-TW" altLang="en-US" sz="1400" b="1">
            <a:solidFill>
              <a:schemeClr val="tx1">
                <a:lumMod val="75000"/>
                <a:lumOff val="25000"/>
              </a:schemeClr>
            </a:solidFill>
            <a:latin typeface="微軟正黑體" panose="020B0604030504040204" pitchFamily="34" charset="-120"/>
            <a:ea typeface="微軟正黑體" panose="020B0604030504040204" pitchFamily="34" charset="-120"/>
            <a:cs typeface="+mn-cs"/>
          </a:endParaRPr>
        </a:p>
      </xdr:txBody>
    </xdr:sp>
    <xdr:clientData/>
  </xdr:twoCellAnchor>
  <xdr:twoCellAnchor>
    <xdr:from>
      <xdr:col>12</xdr:col>
      <xdr:colOff>600075</xdr:colOff>
      <xdr:row>1</xdr:row>
      <xdr:rowOff>161924</xdr:rowOff>
    </xdr:from>
    <xdr:to>
      <xdr:col>22</xdr:col>
      <xdr:colOff>278057</xdr:colOff>
      <xdr:row>16</xdr:row>
      <xdr:rowOff>0</xdr:rowOff>
    </xdr:to>
    <xdr:sp macro="" textlink="">
      <xdr:nvSpPr>
        <xdr:cNvPr id="8" name="矩形: 圓角 7">
          <a:extLst>
            <a:ext uri="{FF2B5EF4-FFF2-40B4-BE49-F238E27FC236}">
              <a16:creationId xmlns:a16="http://schemas.microsoft.com/office/drawing/2014/main" xmlns="" id="{E54695DB-675A-4A62-A525-B21A1C2C78C0}"/>
            </a:ext>
          </a:extLst>
        </xdr:cNvPr>
        <xdr:cNvSpPr>
          <a:spLocks noChangeAspect="1"/>
        </xdr:cNvSpPr>
      </xdr:nvSpPr>
      <xdr:spPr>
        <a:xfrm>
          <a:off x="8829675" y="371474"/>
          <a:ext cx="6535982" cy="2981326"/>
        </a:xfrm>
        <a:prstGeom prst="roundRect">
          <a:avLst>
            <a:gd name="adj" fmla="val 5279"/>
          </a:avLst>
        </a:prstGeom>
        <a:gradFill>
          <a:gsLst>
            <a:gs pos="0">
              <a:srgbClr val="2F6EC7"/>
            </a:gs>
            <a:gs pos="85000">
              <a:srgbClr val="224E9F"/>
            </a:gs>
          </a:gsLst>
          <a:lin ang="2700000" scaled="0"/>
        </a:gradFill>
        <a:ln w="9525">
          <a:gradFill>
            <a:gsLst>
              <a:gs pos="0">
                <a:srgbClr val="6494DA"/>
              </a:gs>
              <a:gs pos="50000">
                <a:srgbClr val="BCC6FF"/>
              </a:gs>
              <a:gs pos="100000">
                <a:srgbClr val="2F6EC7"/>
              </a:gs>
            </a:gsLst>
            <a:lin ang="5400000" scaled="1"/>
          </a:gradFill>
        </a:ln>
        <a:effectLst>
          <a:outerShdw blurRad="190500" dist="101600" dir="8100000" algn="ctr" rotWithShape="0">
            <a:srgbClr val="000000">
              <a:alpha val="80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tIns="0" rtlCol="0" anchor="t"/>
        <a:lstStyle/>
        <a:p>
          <a:pPr marL="0" indent="0" algn="ctr"/>
          <a:endParaRPr lang="zh-TW" altLang="en-US" sz="1400" b="1">
            <a:solidFill>
              <a:schemeClr val="tx1">
                <a:lumMod val="75000"/>
                <a:lumOff val="25000"/>
              </a:schemeClr>
            </a:solidFill>
            <a:latin typeface="微軟正黑體" panose="020B0604030504040204" pitchFamily="34" charset="-120"/>
            <a:ea typeface="微軟正黑體" panose="020B0604030504040204" pitchFamily="34" charset="-120"/>
            <a:cs typeface="+mn-cs"/>
          </a:endParaRPr>
        </a:p>
      </xdr:txBody>
    </xdr:sp>
    <xdr:clientData/>
  </xdr:twoCellAnchor>
  <xdr:twoCellAnchor>
    <xdr:from>
      <xdr:col>3</xdr:col>
      <xdr:colOff>542925</xdr:colOff>
      <xdr:row>25</xdr:row>
      <xdr:rowOff>9524</xdr:rowOff>
    </xdr:from>
    <xdr:to>
      <xdr:col>12</xdr:col>
      <xdr:colOff>346725</xdr:colOff>
      <xdr:row>38</xdr:row>
      <xdr:rowOff>11269</xdr:rowOff>
    </xdr:to>
    <xdr:sp macro="" textlink="">
      <xdr:nvSpPr>
        <xdr:cNvPr id="9" name="矩形: 圓角 8">
          <a:extLst>
            <a:ext uri="{FF2B5EF4-FFF2-40B4-BE49-F238E27FC236}">
              <a16:creationId xmlns:a16="http://schemas.microsoft.com/office/drawing/2014/main" xmlns="" id="{15F2D369-4AAC-5EAF-727F-35D2880313B9}"/>
            </a:ext>
          </a:extLst>
        </xdr:cNvPr>
        <xdr:cNvSpPr>
          <a:spLocks noChangeAspect="1"/>
        </xdr:cNvSpPr>
      </xdr:nvSpPr>
      <xdr:spPr>
        <a:xfrm>
          <a:off x="2600325" y="5248274"/>
          <a:ext cx="5976000" cy="2725895"/>
        </a:xfrm>
        <a:prstGeom prst="roundRect">
          <a:avLst>
            <a:gd name="adj" fmla="val 5279"/>
          </a:avLst>
        </a:prstGeom>
        <a:gradFill>
          <a:gsLst>
            <a:gs pos="0">
              <a:srgbClr val="2F6EC7"/>
            </a:gs>
            <a:gs pos="85000">
              <a:srgbClr val="224E9F"/>
            </a:gs>
          </a:gsLst>
          <a:lin ang="2700000" scaled="0"/>
        </a:gradFill>
        <a:ln w="9525">
          <a:gradFill>
            <a:gsLst>
              <a:gs pos="0">
                <a:srgbClr val="6494DA"/>
              </a:gs>
              <a:gs pos="50000">
                <a:srgbClr val="BCC6FF"/>
              </a:gs>
              <a:gs pos="100000">
                <a:srgbClr val="2F6EC7"/>
              </a:gs>
            </a:gsLst>
            <a:lin ang="5400000" scaled="1"/>
          </a:gradFill>
        </a:ln>
        <a:effectLst>
          <a:outerShdw blurRad="190500" dist="101600" dir="8100000" algn="ctr" rotWithShape="0">
            <a:srgbClr val="000000">
              <a:alpha val="80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tIns="0" rtlCol="0" anchor="t"/>
        <a:lstStyle/>
        <a:p>
          <a:pPr marL="0" indent="0" algn="ctr"/>
          <a:endParaRPr lang="zh-TW" altLang="en-US" sz="1400" b="1">
            <a:solidFill>
              <a:schemeClr val="tx1">
                <a:lumMod val="75000"/>
                <a:lumOff val="25000"/>
              </a:schemeClr>
            </a:solidFill>
            <a:latin typeface="微軟正黑體" panose="020B0604030504040204" pitchFamily="34" charset="-120"/>
            <a:ea typeface="微軟正黑體" panose="020B0604030504040204" pitchFamily="34" charset="-120"/>
            <a:cs typeface="+mn-cs"/>
          </a:endParaRPr>
        </a:p>
      </xdr:txBody>
    </xdr:sp>
    <xdr:clientData/>
  </xdr:twoCellAnchor>
  <xdr:twoCellAnchor>
    <xdr:from>
      <xdr:col>12</xdr:col>
      <xdr:colOff>600075</xdr:colOff>
      <xdr:row>17</xdr:row>
      <xdr:rowOff>68418</xdr:rowOff>
    </xdr:from>
    <xdr:to>
      <xdr:col>17</xdr:col>
      <xdr:colOff>303075</xdr:colOff>
      <xdr:row>38</xdr:row>
      <xdr:rowOff>11269</xdr:rowOff>
    </xdr:to>
    <xdr:sp macro="" textlink="">
      <xdr:nvSpPr>
        <xdr:cNvPr id="10" name="矩形: 圓角 9">
          <a:extLst>
            <a:ext uri="{FF2B5EF4-FFF2-40B4-BE49-F238E27FC236}">
              <a16:creationId xmlns:a16="http://schemas.microsoft.com/office/drawing/2014/main" xmlns="" id="{896582B8-8530-48F8-A3E4-30D7A8AE6511}"/>
            </a:ext>
          </a:extLst>
        </xdr:cNvPr>
        <xdr:cNvSpPr>
          <a:spLocks/>
        </xdr:cNvSpPr>
      </xdr:nvSpPr>
      <xdr:spPr>
        <a:xfrm>
          <a:off x="8829675" y="3630768"/>
          <a:ext cx="3132000" cy="4343401"/>
        </a:xfrm>
        <a:prstGeom prst="roundRect">
          <a:avLst>
            <a:gd name="adj" fmla="val 5279"/>
          </a:avLst>
        </a:prstGeom>
        <a:gradFill>
          <a:gsLst>
            <a:gs pos="0">
              <a:srgbClr val="2F6EC7"/>
            </a:gs>
            <a:gs pos="85000">
              <a:srgbClr val="224E9F"/>
            </a:gs>
          </a:gsLst>
          <a:lin ang="2700000" scaled="0"/>
        </a:gradFill>
        <a:ln w="9525">
          <a:gradFill>
            <a:gsLst>
              <a:gs pos="0">
                <a:srgbClr val="6494DA"/>
              </a:gs>
              <a:gs pos="50000">
                <a:srgbClr val="BCC6FF"/>
              </a:gs>
              <a:gs pos="100000">
                <a:srgbClr val="2F6EC7"/>
              </a:gs>
            </a:gsLst>
            <a:lin ang="5400000" scaled="1"/>
          </a:gradFill>
        </a:ln>
        <a:effectLst>
          <a:outerShdw blurRad="190500" dist="101600" dir="8100000" algn="ctr" rotWithShape="0">
            <a:srgbClr val="000000">
              <a:alpha val="80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tIns="0" rtlCol="0" anchor="t"/>
        <a:lstStyle/>
        <a:p>
          <a:pPr marL="0" indent="0" algn="ctr"/>
          <a:endParaRPr lang="zh-TW" altLang="en-US" sz="1400" b="1">
            <a:solidFill>
              <a:schemeClr val="tx1">
                <a:lumMod val="75000"/>
                <a:lumOff val="25000"/>
              </a:schemeClr>
            </a:solidFill>
            <a:latin typeface="微軟正黑體" panose="020B0604030504040204" pitchFamily="34" charset="-120"/>
            <a:ea typeface="微軟正黑體" panose="020B0604030504040204" pitchFamily="34" charset="-120"/>
            <a:cs typeface="+mn-cs"/>
          </a:endParaRPr>
        </a:p>
      </xdr:txBody>
    </xdr:sp>
    <xdr:clientData/>
  </xdr:twoCellAnchor>
  <xdr:twoCellAnchor>
    <xdr:from>
      <xdr:col>17</xdr:col>
      <xdr:colOff>575057</xdr:colOff>
      <xdr:row>17</xdr:row>
      <xdr:rowOff>68418</xdr:rowOff>
    </xdr:from>
    <xdr:to>
      <xdr:col>22</xdr:col>
      <xdr:colOff>278057</xdr:colOff>
      <xdr:row>38</xdr:row>
      <xdr:rowOff>11269</xdr:rowOff>
    </xdr:to>
    <xdr:sp macro="" textlink="">
      <xdr:nvSpPr>
        <xdr:cNvPr id="12" name="矩形: 圓角 11">
          <a:extLst>
            <a:ext uri="{FF2B5EF4-FFF2-40B4-BE49-F238E27FC236}">
              <a16:creationId xmlns:a16="http://schemas.microsoft.com/office/drawing/2014/main" xmlns="" id="{7B064437-D934-4254-81DC-DE501B93876D}"/>
            </a:ext>
          </a:extLst>
        </xdr:cNvPr>
        <xdr:cNvSpPr>
          <a:spLocks/>
        </xdr:cNvSpPr>
      </xdr:nvSpPr>
      <xdr:spPr>
        <a:xfrm>
          <a:off x="12233657" y="3630768"/>
          <a:ext cx="3132000" cy="4343401"/>
        </a:xfrm>
        <a:prstGeom prst="roundRect">
          <a:avLst>
            <a:gd name="adj" fmla="val 5279"/>
          </a:avLst>
        </a:prstGeom>
        <a:gradFill>
          <a:gsLst>
            <a:gs pos="0">
              <a:srgbClr val="2F6EC7"/>
            </a:gs>
            <a:gs pos="85000">
              <a:srgbClr val="224E9F"/>
            </a:gs>
          </a:gsLst>
          <a:lin ang="2700000" scaled="0"/>
        </a:gradFill>
        <a:ln w="9525">
          <a:gradFill>
            <a:gsLst>
              <a:gs pos="0">
                <a:srgbClr val="6494DA"/>
              </a:gs>
              <a:gs pos="50000">
                <a:srgbClr val="BCC6FF"/>
              </a:gs>
              <a:gs pos="100000">
                <a:srgbClr val="2F6EC7"/>
              </a:gs>
            </a:gsLst>
            <a:lin ang="5400000" scaled="1"/>
          </a:gradFill>
        </a:ln>
        <a:effectLst>
          <a:outerShdw blurRad="190500" dist="101600" dir="8100000" algn="ctr" rotWithShape="0">
            <a:srgbClr val="000000">
              <a:alpha val="80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tIns="0" rtlCol="0" anchor="t"/>
        <a:lstStyle/>
        <a:p>
          <a:pPr marL="0" indent="0" algn="ctr"/>
          <a:endParaRPr lang="zh-TW" altLang="en-US" sz="1400" b="1">
            <a:solidFill>
              <a:schemeClr val="tx1">
                <a:lumMod val="75000"/>
                <a:lumOff val="25000"/>
              </a:schemeClr>
            </a:solidFill>
            <a:latin typeface="微軟正黑體" panose="020B0604030504040204" pitchFamily="34" charset="-120"/>
            <a:ea typeface="微軟正黑體" panose="020B0604030504040204" pitchFamily="34" charset="-120"/>
            <a:cs typeface="+mn-cs"/>
          </a:endParaRPr>
        </a:p>
      </xdr:txBody>
    </xdr:sp>
    <xdr:clientData/>
  </xdr:twoCellAnchor>
  <xdr:twoCellAnchor>
    <xdr:from>
      <xdr:col>13</xdr:col>
      <xdr:colOff>104774</xdr:colOff>
      <xdr:row>2</xdr:row>
      <xdr:rowOff>95250</xdr:rowOff>
    </xdr:from>
    <xdr:to>
      <xdr:col>22</xdr:col>
      <xdr:colOff>133349</xdr:colOff>
      <xdr:row>15</xdr:row>
      <xdr:rowOff>114300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xmlns="" id="{70C9172D-EA25-445B-97D7-C8F8A448C702}"/>
            </a:ext>
            <a:ext uri="{147F2762-F138-4A5C-976F-8EAC2B608ADB}">
              <a16:predDERef xmlns:a16="http://schemas.microsoft.com/office/drawing/2014/main" xmlns="" pred="{7B064437-D934-4254-81DC-DE501B9387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161925</xdr:colOff>
      <xdr:row>73</xdr:row>
      <xdr:rowOff>114300</xdr:rowOff>
    </xdr:from>
    <xdr:to>
      <xdr:col>18</xdr:col>
      <xdr:colOff>133350</xdr:colOff>
      <xdr:row>87</xdr:row>
      <xdr:rowOff>57150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xmlns="" id="{81C70762-D176-343B-7D14-0B690CBB89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8" name="收支資料表" displayName="收支資料表" ref="A1:P1048576" totalsRowShown="0" headerRowDxfId="126" dataDxfId="125">
  <autoFilter ref="A1:P104857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name="帳戶" dataDxfId="124"/>
    <tableColumn id="2" name="幣種" dataDxfId="123"/>
    <tableColumn id="3" name="記錄類型" dataDxfId="122"/>
    <tableColumn id="4" name="主類別" dataDxfId="121"/>
    <tableColumn id="5" name="子類別" dataDxfId="120"/>
    <tableColumn id="6" name="金額" dataDxfId="119"/>
    <tableColumn id="7" name="手續費" dataDxfId="118"/>
    <tableColumn id="8" name="折扣" dataDxfId="117"/>
    <tableColumn id="9" name="名稱" dataDxfId="116"/>
    <tableColumn id="10" name="商家" dataDxfId="115"/>
    <tableColumn id="11" name="日期" dataDxfId="114"/>
    <tableColumn id="12" name="時間" dataDxfId="113"/>
    <tableColumn id="13" name="專案" dataDxfId="112"/>
    <tableColumn id="14" name="描述" dataDxfId="111"/>
    <tableColumn id="15" name="標籤" dataDxfId="110"/>
    <tableColumn id="16" name="對象" dataDxfId="109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1" name="流動性資產" displayName="流動性資產" ref="B3:D10" totalsRowCount="1" headerRowDxfId="108" dataDxfId="106" totalsRowDxfId="105" headerRowBorderDxfId="107" totalsRowBorderDxfId="104">
  <autoFilter ref="B3:D9">
    <filterColumn colId="0" hiddenButton="1"/>
    <filterColumn colId="1" hiddenButton="1"/>
    <filterColumn colId="2" hiddenButton="1"/>
  </autoFilter>
  <tableColumns count="3">
    <tableColumn id="1" name="流動性資產" totalsRowLabel="合計" dataDxfId="103" totalsRowDxfId="102"/>
    <tableColumn id="2" name="價值" totalsRowFunction="sum" dataDxfId="101" totalsRowDxfId="100" dataCellStyle="貨幣">
      <calculatedColumnFormula>-SUMIFS(記帳區!$F:$F,記帳區!$E:$E,$B4)</calculatedColumnFormula>
    </tableColumn>
    <tableColumn id="3" name="佔比" dataDxfId="99" totalsRowDxfId="98" dataCellStyle="百分比">
      <calculatedColumnFormula>IFERROR(流動性資產[[#This Row],[價值]]/流動性資產[[#Totals],[價值]],0)</calculatedColumnFormula>
    </tableColumn>
  </tableColumns>
  <tableStyleInfo name="表格樣式 1" showFirstColumn="0" showLastColumn="0" showRowStripes="1" showColumnStripes="1"/>
</table>
</file>

<file path=xl/tables/table3.xml><?xml version="1.0" encoding="utf-8"?>
<table xmlns="http://schemas.openxmlformats.org/spreadsheetml/2006/main" id="2" name="非流動性投資" displayName="非流動性投資" ref="F13:H19" totalsRowCount="1" headerRowDxfId="97" dataDxfId="95" totalsRowDxfId="93" headerRowBorderDxfId="96" tableBorderDxfId="94" totalsRowBorderDxfId="92">
  <autoFilter ref="F13:H18">
    <filterColumn colId="0" hiddenButton="1"/>
    <filterColumn colId="1" hiddenButton="1"/>
    <filterColumn colId="2" hiddenButton="1"/>
  </autoFilter>
  <tableColumns count="3">
    <tableColumn id="1" name="非流動性投資" totalsRowLabel="合計" dataDxfId="91" totalsRowDxfId="90"/>
    <tableColumn id="2" name="價值" totalsRowFunction="sum" dataDxfId="89" totalsRowDxfId="88"/>
    <tableColumn id="3" name="佔比" dataDxfId="87" totalsRowDxfId="86" dataCellStyle="百分比">
      <calculatedColumnFormula>IFERROR(非流動性投資[[#This Row],[價值]]/非流動性投資[[#Totals],[價值]],0)</calculatedColumnFormula>
    </tableColumn>
  </tableColumns>
  <tableStyleInfo showFirstColumn="0" showLastColumn="0" showRowStripes="1" showColumnStripes="1"/>
</table>
</file>

<file path=xl/tables/table4.xml><?xml version="1.0" encoding="utf-8"?>
<table xmlns="http://schemas.openxmlformats.org/spreadsheetml/2006/main" id="3" name="其他資產" displayName="其他資產" ref="J3:L10" totalsRowCount="1" headerRowDxfId="85" dataDxfId="83" totalsRowDxfId="82" headerRowBorderDxfId="84" totalsRowBorderDxfId="81">
  <autoFilter ref="J3:L9">
    <filterColumn colId="0" hiddenButton="1"/>
    <filterColumn colId="1" hiddenButton="1"/>
    <filterColumn colId="2" hiddenButton="1"/>
  </autoFilter>
  <tableColumns count="3">
    <tableColumn id="1" name="其他資產" totalsRowLabel="合計" dataDxfId="80" totalsRowDxfId="79"/>
    <tableColumn id="2" name="價值" totalsRowFunction="sum" dataDxfId="78" totalsRowDxfId="77"/>
    <tableColumn id="3" name="佔比" dataDxfId="76" totalsRowDxfId="75">
      <calculatedColumnFormula>IFERROR(其他資產[[#This Row],[價值]]/其他資產[[#Totals],[價值]],0)</calculatedColumnFormula>
    </tableColumn>
  </tableColumns>
  <tableStyleInfo showFirstColumn="0" showLastColumn="0" showRowStripes="1" showColumnStripes="1"/>
</table>
</file>

<file path=xl/tables/table5.xml><?xml version="1.0" encoding="utf-8"?>
<table xmlns="http://schemas.openxmlformats.org/spreadsheetml/2006/main" id="4" name="壓榨性債務" displayName="壓榨性債務" ref="B22:F33" totalsRowCount="1" headerRowDxfId="74" dataDxfId="72" totalsRowDxfId="70" headerRowBorderDxfId="73" tableBorderDxfId="71" totalsRowBorderDxfId="69">
  <autoFilter ref="B22:F32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name="壓榨性債務" totalsRowLabel="合計" dataDxfId="68" totalsRowDxfId="67"/>
    <tableColumn id="2" name="價值" totalsRowFunction="sum" dataDxfId="66" totalsRowDxfId="65"/>
    <tableColumn id="3" name="佔比" dataDxfId="64" totalsRowDxfId="63" dataCellStyle="百分比">
      <calculatedColumnFormula>IFERROR(壓榨性債務[[#This Row],[價值]]/壓榨性債務[[#Totals],[價值]],0)</calculatedColumnFormula>
    </tableColumn>
    <tableColumn id="4" name="月繳" totalsRowFunction="sum" dataDxfId="62" totalsRowDxfId="61"/>
    <tableColumn id="5" name="到期日" dataDxfId="60" totalsRowDxfId="59"/>
  </tableColumns>
  <tableStyleInfo name="表格樣式 1" showFirstColumn="0" showLastColumn="0" showRowStripes="1" showColumnStripes="1"/>
</table>
</file>

<file path=xl/tables/table6.xml><?xml version="1.0" encoding="utf-8"?>
<table xmlns="http://schemas.openxmlformats.org/spreadsheetml/2006/main" id="5" name="功能性債務" displayName="功能性債務" ref="J22:L28" totalsRowCount="1" headerRowDxfId="58" dataDxfId="56" totalsRowDxfId="54" headerRowBorderDxfId="57" tableBorderDxfId="55" totalsRowBorderDxfId="53">
  <autoFilter ref="J22:L27">
    <filterColumn colId="0" hiddenButton="1"/>
    <filterColumn colId="1" hiddenButton="1"/>
    <filterColumn colId="2" hiddenButton="1"/>
  </autoFilter>
  <tableColumns count="3">
    <tableColumn id="1" name="功能性債務" totalsRowLabel="合計" dataDxfId="52" totalsRowDxfId="51"/>
    <tableColumn id="2" name="價值" totalsRowFunction="sum" dataDxfId="50" totalsRowDxfId="49"/>
    <tableColumn id="3" name="佔比" dataDxfId="48" totalsRowDxfId="47" dataCellStyle="百分比">
      <calculatedColumnFormula>IFERROR(功能性債務[[#This Row],[價值]]/功能性債務[[#Totals],[價值]],0)</calculatedColumnFormula>
    </tableColumn>
  </tableColumns>
  <tableStyleInfo name="TableStyleMedium6" showFirstColumn="0" showLastColumn="0" showRowStripes="1" showColumnStripes="1"/>
</table>
</file>

<file path=xl/tables/table7.xml><?xml version="1.0" encoding="utf-8"?>
<table xmlns="http://schemas.openxmlformats.org/spreadsheetml/2006/main" id="6" name="流動性投資" displayName="流動性投資" ref="F3:H10" totalsRowCount="1" headerRowDxfId="46" dataDxfId="44" totalsRowDxfId="43" headerRowBorderDxfId="45" totalsRowBorderDxfId="42">
  <autoFilter ref="F3:H9">
    <filterColumn colId="0" hiddenButton="1"/>
    <filterColumn colId="1" hiddenButton="1"/>
    <filterColumn colId="2" hiddenButton="1"/>
  </autoFilter>
  <tableColumns count="3">
    <tableColumn id="1" name="流動性投資" totalsRowLabel="合計" dataDxfId="41" totalsRowDxfId="40"/>
    <tableColumn id="2" name="價值" totalsRowFunction="sum" dataDxfId="39" totalsRowDxfId="38">
      <calculatedColumnFormula>-SUMIFS(記帳區!$F:$F,記帳區!$E:$E,$F4)</calculatedColumnFormula>
    </tableColumn>
    <tableColumn id="3" name="佔比" dataDxfId="37" totalsRowDxfId="36" dataCellStyle="百分比">
      <calculatedColumnFormula>IFERROR(流動性投資[[#This Row],[價值]]/流動性投資[[#Totals],[價值]],0)</calculatedColumnFormula>
    </tableColumn>
  </tableColumns>
  <tableStyleInfo name="表格樣式 1" showFirstColumn="0" showLastColumn="0" showRowStripes="1" showColumnStripes="1"/>
</table>
</file>

<file path=xl/tables/table8.xml><?xml version="1.0" encoding="utf-8"?>
<table xmlns="http://schemas.openxmlformats.org/spreadsheetml/2006/main" id="7" name="自用不動產" displayName="自用不動產" ref="B13:D19" totalsRowCount="1" headerRowDxfId="35" dataDxfId="33" totalsRowDxfId="32" headerRowBorderDxfId="34" totalsRowBorderDxfId="31">
  <autoFilter ref="B13:D18">
    <filterColumn colId="0" hiddenButton="1"/>
    <filterColumn colId="1" hiddenButton="1"/>
    <filterColumn colId="2" hiddenButton="1"/>
  </autoFilter>
  <tableColumns count="3">
    <tableColumn id="1" name="自用不動產" totalsRowLabel="合計" dataDxfId="30" totalsRowDxfId="29"/>
    <tableColumn id="2" name="價值" totalsRowFunction="sum" dataDxfId="28" totalsRowDxfId="27"/>
    <tableColumn id="3" name="佔比" dataDxfId="26" totalsRowDxfId="25" dataCellStyle="百分比">
      <calculatedColumnFormula>IFERROR(自用不動產[[#This Row],[價值]]/自用不動產[[#Totals],[價值]],0)</calculatedColumnFormula>
    </tableColumn>
  </tableColumns>
  <tableStyleInfo showFirstColumn="0" showLastColumn="0" showRowStripes="1" showColumnStripes="1"/>
</table>
</file>

<file path=xl/tables/table9.xml><?xml version="1.0" encoding="utf-8"?>
<table xmlns="http://schemas.openxmlformats.org/spreadsheetml/2006/main" id="9" name="升息資產" displayName="升息資產" ref="J13:L19" totalsRowCount="1" headerRowDxfId="24" dataDxfId="22" totalsRowDxfId="20" headerRowBorderDxfId="23" tableBorderDxfId="21" totalsRowBorderDxfId="19">
  <autoFilter ref="J13:L18">
    <filterColumn colId="0" hiddenButton="1"/>
    <filterColumn colId="1" hiddenButton="1"/>
    <filterColumn colId="2" hiddenButton="1"/>
  </autoFilter>
  <tableColumns count="3">
    <tableColumn id="1" name="升息資產" totalsRowLabel="合計" dataDxfId="18" totalsRowDxfId="17"/>
    <tableColumn id="2" name="價值" totalsRowFunction="sum" dataDxfId="16" totalsRowDxfId="15"/>
    <tableColumn id="3" name="佔比" dataDxfId="14" totalsRowDxfId="13" dataCellStyle="百分比">
      <calculatedColumnFormula>IFERROR(升息資產[[#This Row],[價值]]/升息資產[[#Totals],[價值]],0)</calculatedColumnFormula>
    </tableColumn>
  </tableColumns>
  <tableStyleInfo showFirstColumn="0" showLastColumn="0" showRowStripes="1" showColumnStripes="1"/>
</table>
</file>

<file path=xl/tables/table10.xml><?xml version="1.0" encoding="utf-8"?>
<table xmlns="http://schemas.openxmlformats.org/spreadsheetml/2006/main" id="10" name="致富性債務" displayName="致富性債務" ref="J30:L36" totalsRowCount="1" headerRowDxfId="12" dataDxfId="10" totalsRowDxfId="8" headerRowBorderDxfId="11" tableBorderDxfId="9" totalsRowBorderDxfId="7">
  <autoFilter ref="J30:L35">
    <filterColumn colId="0" hiddenButton="1"/>
    <filterColumn colId="1" hiddenButton="1"/>
    <filterColumn colId="2" hiddenButton="1"/>
  </autoFilter>
  <tableColumns count="3">
    <tableColumn id="1" name="致富性債務" totalsRowLabel="合計" dataDxfId="6" totalsRowDxfId="5"/>
    <tableColumn id="2" name="價值" totalsRowFunction="sum" dataDxfId="4" totalsRowDxfId="3"/>
    <tableColumn id="3" name="佔比" dataDxfId="2" totalsRowDxfId="1" dataCellStyle="百分比">
      <calculatedColumnFormula>IFERROR(致富性債務[[#This Row],[價值]]/致富性債務[[#Totals],[價值]],0)</calculatedColumnFormula>
    </tableColumn>
  </tableColumns>
  <tableStyleInfo name="TableStyleMedium6" showFirstColumn="0" showLastColumn="0" showRowStripes="1" showColumnStripes="1"/>
</table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bg1"/>
        </a:solidFill>
        <a:ln w="38100">
          <a:solidFill>
            <a:srgbClr val="AAC4FF"/>
          </a:solidFill>
        </a:ln>
        <a:effectLst>
          <a:outerShdw blurRad="127000" dist="50800" dir="2700000" algn="ctr" rotWithShape="0">
            <a:srgbClr val="000000"/>
          </a:outerShdw>
          <a:reflection blurRad="63500" stA="45000" endPos="65000" dist="50800" dir="5400000" sy="-100000" algn="bl" rotWithShape="0"/>
        </a:effectLst>
      </a:spPr>
      <a:bodyPr vertOverflow="clip" horzOverflow="clip" tIns="0" rtlCol="0" anchor="t"/>
      <a:lstStyle>
        <a:defPPr algn="ctr">
          <a:defRPr sz="1400" b="1">
            <a:solidFill>
              <a:schemeClr val="tx1">
                <a:lumMod val="75000"/>
                <a:lumOff val="25000"/>
              </a:schemeClr>
            </a:solidFill>
            <a:latin typeface="微軟正黑體" panose="020B0604030504040204" pitchFamily="34" charset="-120"/>
            <a:ea typeface="微軟正黑體" panose="020B0604030504040204" pitchFamily="34" charset="-120"/>
          </a:defRPr>
        </a:defPPr>
      </a:lstStyle>
      <a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xmlns="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table" Target="../tables/table9.xml"/><Relationship Id="rId3" Type="http://schemas.openxmlformats.org/officeDocument/2006/relationships/table" Target="../tables/table4.xml"/><Relationship Id="rId7" Type="http://schemas.openxmlformats.org/officeDocument/2006/relationships/table" Target="../tables/table8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6" Type="http://schemas.openxmlformats.org/officeDocument/2006/relationships/table" Target="../tables/table7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Relationship Id="rId9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C00000"/>
    <outlinePr summaryBelow="0"/>
  </sheetPr>
  <dimension ref="B1:AV552"/>
  <sheetViews>
    <sheetView zoomScale="145" zoomScaleNormal="145" workbookViewId="0">
      <pane ySplit="5" topLeftCell="A20" activePane="bottomLeft" state="frozen"/>
      <selection pane="bottomLeft" activeCell="F39" sqref="F39"/>
    </sheetView>
  </sheetViews>
  <sheetFormatPr defaultColWidth="8.75" defaultRowHeight="15.75" outlineLevelRow="1"/>
  <cols>
    <col min="1" max="1" width="2.625" style="165" customWidth="1"/>
    <col min="2" max="2" width="4.625" style="165" bestFit="1" customWidth="1"/>
    <col min="3" max="3" width="3.5" style="165" bestFit="1" customWidth="1"/>
    <col min="4" max="4" width="20.375" style="165" bestFit="1" customWidth="1"/>
    <col min="5" max="5" width="16.875" style="166" bestFit="1" customWidth="1"/>
    <col min="6" max="6" width="9.625" style="165" bestFit="1" customWidth="1"/>
    <col min="7" max="9" width="10.75" style="191" bestFit="1" customWidth="1"/>
    <col min="10" max="11" width="15.125" style="191" bestFit="1" customWidth="1"/>
    <col min="12" max="12" width="16.375" style="191" bestFit="1" customWidth="1"/>
    <col min="13" max="13" width="15.125" style="191" bestFit="1" customWidth="1"/>
    <col min="14" max="14" width="16.375" style="191" bestFit="1" customWidth="1"/>
    <col min="15" max="17" width="15.125" style="191" bestFit="1" customWidth="1"/>
    <col min="18" max="48" width="16.375" style="191" bestFit="1" customWidth="1"/>
    <col min="49" max="16384" width="8.75" style="165"/>
  </cols>
  <sheetData>
    <row r="1" spans="2:48" ht="16.5" thickBot="1"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65"/>
      <c r="T1" s="165"/>
      <c r="U1" s="165"/>
      <c r="V1" s="165"/>
      <c r="W1" s="165"/>
      <c r="X1" s="165"/>
      <c r="Y1" s="165"/>
      <c r="Z1" s="165"/>
      <c r="AA1" s="165"/>
      <c r="AB1" s="165"/>
      <c r="AC1" s="165"/>
      <c r="AD1" s="165"/>
      <c r="AE1" s="165"/>
      <c r="AF1" s="165"/>
      <c r="AG1" s="165"/>
      <c r="AH1" s="165"/>
      <c r="AI1" s="165"/>
      <c r="AJ1" s="165"/>
      <c r="AK1" s="165"/>
      <c r="AL1" s="165"/>
      <c r="AM1" s="165"/>
      <c r="AN1" s="165"/>
      <c r="AO1" s="165"/>
      <c r="AP1" s="165"/>
      <c r="AQ1" s="165"/>
      <c r="AR1" s="165"/>
      <c r="AS1" s="165"/>
      <c r="AT1" s="165"/>
      <c r="AU1" s="165"/>
      <c r="AV1" s="165"/>
    </row>
    <row r="2" spans="2:48" ht="21" thickBot="1">
      <c r="D2" s="189" t="s">
        <v>364</v>
      </c>
      <c r="E2" s="190">
        <f ca="1">TODAY()</f>
        <v>45957</v>
      </c>
      <c r="G2" s="165"/>
      <c r="H2" s="165"/>
      <c r="I2" s="165"/>
      <c r="J2" s="165"/>
      <c r="K2" s="165"/>
      <c r="L2" s="165"/>
      <c r="M2" s="165"/>
      <c r="N2" s="165"/>
      <c r="O2" s="165"/>
      <c r="P2" s="165"/>
      <c r="Q2" s="165"/>
      <c r="R2" s="165"/>
      <c r="S2" s="165"/>
      <c r="T2" s="165"/>
      <c r="U2" s="165"/>
      <c r="V2" s="165"/>
      <c r="W2" s="165"/>
      <c r="X2" s="165"/>
      <c r="Y2" s="165"/>
      <c r="Z2" s="165"/>
      <c r="AA2" s="165"/>
      <c r="AB2" s="165"/>
      <c r="AC2" s="165"/>
      <c r="AD2" s="165"/>
      <c r="AE2" s="165"/>
      <c r="AF2" s="165"/>
      <c r="AG2" s="165"/>
      <c r="AH2" s="165"/>
      <c r="AI2" s="165"/>
      <c r="AJ2" s="165"/>
      <c r="AK2" s="165"/>
      <c r="AL2" s="165"/>
      <c r="AM2" s="165"/>
      <c r="AN2" s="165"/>
      <c r="AO2" s="165"/>
      <c r="AP2" s="165"/>
      <c r="AQ2" s="165"/>
      <c r="AR2" s="165"/>
      <c r="AS2" s="165"/>
      <c r="AT2" s="165"/>
      <c r="AU2" s="165"/>
      <c r="AV2" s="165"/>
    </row>
    <row r="3" spans="2:48" ht="20.25">
      <c r="D3" s="181" t="s">
        <v>365</v>
      </c>
      <c r="E3" s="180" t="s">
        <v>366</v>
      </c>
      <c r="F3" s="182" t="s">
        <v>367</v>
      </c>
      <c r="G3" s="175">
        <v>45839</v>
      </c>
      <c r="H3" s="175">
        <f t="shared" ref="H3:AV3" si="0">EDATE(G3,1)</f>
        <v>45870</v>
      </c>
      <c r="I3" s="175">
        <f t="shared" si="0"/>
        <v>45901</v>
      </c>
      <c r="J3" s="175">
        <f t="shared" si="0"/>
        <v>45931</v>
      </c>
      <c r="K3" s="175">
        <f t="shared" si="0"/>
        <v>45962</v>
      </c>
      <c r="L3" s="175">
        <f t="shared" si="0"/>
        <v>45992</v>
      </c>
      <c r="M3" s="175">
        <f t="shared" si="0"/>
        <v>46023</v>
      </c>
      <c r="N3" s="175">
        <f t="shared" si="0"/>
        <v>46054</v>
      </c>
      <c r="O3" s="175">
        <f t="shared" si="0"/>
        <v>46082</v>
      </c>
      <c r="P3" s="175">
        <f t="shared" si="0"/>
        <v>46113</v>
      </c>
      <c r="Q3" s="175">
        <f t="shared" si="0"/>
        <v>46143</v>
      </c>
      <c r="R3" s="175">
        <f t="shared" si="0"/>
        <v>46174</v>
      </c>
      <c r="S3" s="175">
        <f t="shared" si="0"/>
        <v>46204</v>
      </c>
      <c r="T3" s="175">
        <f t="shared" si="0"/>
        <v>46235</v>
      </c>
      <c r="U3" s="175">
        <f t="shared" si="0"/>
        <v>46266</v>
      </c>
      <c r="V3" s="175">
        <f t="shared" si="0"/>
        <v>46296</v>
      </c>
      <c r="W3" s="175">
        <f t="shared" si="0"/>
        <v>46327</v>
      </c>
      <c r="X3" s="175">
        <f t="shared" si="0"/>
        <v>46357</v>
      </c>
      <c r="Y3" s="175">
        <f t="shared" si="0"/>
        <v>46388</v>
      </c>
      <c r="Z3" s="175">
        <f t="shared" si="0"/>
        <v>46419</v>
      </c>
      <c r="AA3" s="175">
        <f t="shared" si="0"/>
        <v>46447</v>
      </c>
      <c r="AB3" s="175">
        <f t="shared" si="0"/>
        <v>46478</v>
      </c>
      <c r="AC3" s="175">
        <f t="shared" si="0"/>
        <v>46508</v>
      </c>
      <c r="AD3" s="175">
        <f t="shared" si="0"/>
        <v>46539</v>
      </c>
      <c r="AE3" s="175">
        <f t="shared" si="0"/>
        <v>46569</v>
      </c>
      <c r="AF3" s="175">
        <f t="shared" si="0"/>
        <v>46600</v>
      </c>
      <c r="AG3" s="175">
        <f t="shared" si="0"/>
        <v>46631</v>
      </c>
      <c r="AH3" s="175">
        <f t="shared" si="0"/>
        <v>46661</v>
      </c>
      <c r="AI3" s="175">
        <f t="shared" si="0"/>
        <v>46692</v>
      </c>
      <c r="AJ3" s="175">
        <f t="shared" si="0"/>
        <v>46722</v>
      </c>
      <c r="AK3" s="175">
        <f t="shared" si="0"/>
        <v>46753</v>
      </c>
      <c r="AL3" s="175">
        <f t="shared" si="0"/>
        <v>46784</v>
      </c>
      <c r="AM3" s="175">
        <f t="shared" si="0"/>
        <v>46813</v>
      </c>
      <c r="AN3" s="175">
        <f t="shared" si="0"/>
        <v>46844</v>
      </c>
      <c r="AO3" s="175">
        <f t="shared" si="0"/>
        <v>46874</v>
      </c>
      <c r="AP3" s="175">
        <f t="shared" si="0"/>
        <v>46905</v>
      </c>
      <c r="AQ3" s="175">
        <f t="shared" si="0"/>
        <v>46935</v>
      </c>
      <c r="AR3" s="175">
        <f t="shared" si="0"/>
        <v>46966</v>
      </c>
      <c r="AS3" s="175">
        <f t="shared" si="0"/>
        <v>46997</v>
      </c>
      <c r="AT3" s="175">
        <f t="shared" si="0"/>
        <v>47027</v>
      </c>
      <c r="AU3" s="175">
        <f t="shared" si="0"/>
        <v>47058</v>
      </c>
      <c r="AV3" s="175">
        <f t="shared" si="0"/>
        <v>47088</v>
      </c>
    </row>
    <row r="4" spans="2:48" ht="20.25">
      <c r="D4" s="181" t="s">
        <v>368</v>
      </c>
      <c r="E4" s="180"/>
      <c r="F4" s="182">
        <v>0</v>
      </c>
      <c r="G4" s="191">
        <f t="shared" ref="G4:AV4" si="1">F4+G5</f>
        <v>-425</v>
      </c>
      <c r="H4" s="191">
        <f t="shared" si="1"/>
        <v>3100</v>
      </c>
      <c r="I4" s="191">
        <f t="shared" si="1"/>
        <v>2725</v>
      </c>
      <c r="J4" s="191">
        <f t="shared" si="1"/>
        <v>-10600</v>
      </c>
      <c r="K4" s="191">
        <f t="shared" si="1"/>
        <v>-23925</v>
      </c>
      <c r="L4" s="191">
        <f t="shared" si="1"/>
        <v>-46250</v>
      </c>
      <c r="M4" s="191">
        <f t="shared" si="1"/>
        <v>-54620</v>
      </c>
      <c r="N4" s="191">
        <f t="shared" si="1"/>
        <v>37010</v>
      </c>
      <c r="O4" s="191">
        <f t="shared" si="1"/>
        <v>28640</v>
      </c>
      <c r="P4" s="191">
        <f t="shared" si="1"/>
        <v>-51674</v>
      </c>
      <c r="Q4" s="191">
        <f t="shared" si="1"/>
        <v>-131988</v>
      </c>
      <c r="R4" s="191">
        <f t="shared" si="1"/>
        <v>97698</v>
      </c>
      <c r="S4" s="191">
        <f t="shared" si="1"/>
        <v>77384</v>
      </c>
      <c r="T4" s="191">
        <f t="shared" si="1"/>
        <v>57070</v>
      </c>
      <c r="U4" s="191">
        <f t="shared" si="1"/>
        <v>36756</v>
      </c>
      <c r="V4" s="191">
        <f t="shared" si="1"/>
        <v>16442</v>
      </c>
      <c r="W4" s="191">
        <f t="shared" si="1"/>
        <v>-3872</v>
      </c>
      <c r="X4" s="191">
        <f t="shared" si="1"/>
        <v>-24186</v>
      </c>
      <c r="Y4" s="191">
        <f t="shared" si="1"/>
        <v>-44500</v>
      </c>
      <c r="Z4" s="191">
        <f t="shared" si="1"/>
        <v>-64814</v>
      </c>
      <c r="AA4" s="191">
        <f t="shared" si="1"/>
        <v>-85128</v>
      </c>
      <c r="AB4" s="191">
        <f t="shared" si="1"/>
        <v>-105442</v>
      </c>
      <c r="AC4" s="191">
        <f t="shared" si="1"/>
        <v>-125756</v>
      </c>
      <c r="AD4" s="191">
        <f t="shared" si="1"/>
        <v>-146070</v>
      </c>
      <c r="AE4" s="191">
        <f t="shared" si="1"/>
        <v>-166384</v>
      </c>
      <c r="AF4" s="191">
        <f t="shared" si="1"/>
        <v>-186698</v>
      </c>
      <c r="AG4" s="191">
        <f t="shared" si="1"/>
        <v>-207012</v>
      </c>
      <c r="AH4" s="191">
        <f t="shared" si="1"/>
        <v>-227326</v>
      </c>
      <c r="AI4" s="191">
        <f t="shared" si="1"/>
        <v>-247640</v>
      </c>
      <c r="AJ4" s="191">
        <f t="shared" si="1"/>
        <v>-260694</v>
      </c>
      <c r="AK4" s="191">
        <f t="shared" si="1"/>
        <v>-273748</v>
      </c>
      <c r="AL4" s="191">
        <f t="shared" si="1"/>
        <v>-286803</v>
      </c>
      <c r="AM4" s="191">
        <f t="shared" si="1"/>
        <v>-299859</v>
      </c>
      <c r="AN4" s="191">
        <f t="shared" si="1"/>
        <v>-312916</v>
      </c>
      <c r="AO4" s="191">
        <f t="shared" si="1"/>
        <v>-325976</v>
      </c>
      <c r="AP4" s="191">
        <f t="shared" si="1"/>
        <v>-339039</v>
      </c>
      <c r="AQ4" s="191">
        <f t="shared" si="1"/>
        <v>-352105</v>
      </c>
      <c r="AR4" s="191">
        <f t="shared" si="1"/>
        <v>-365174</v>
      </c>
      <c r="AS4" s="191">
        <f t="shared" si="1"/>
        <v>-378246</v>
      </c>
      <c r="AT4" s="191">
        <f t="shared" si="1"/>
        <v>-391321</v>
      </c>
      <c r="AU4" s="191">
        <f t="shared" si="1"/>
        <v>-404399</v>
      </c>
      <c r="AV4" s="191">
        <f t="shared" si="1"/>
        <v>-417480</v>
      </c>
    </row>
    <row r="5" spans="2:48" ht="21" thickBot="1">
      <c r="D5" s="181" t="s">
        <v>369</v>
      </c>
      <c r="E5" s="180"/>
      <c r="F5" s="182"/>
      <c r="G5" s="191">
        <f t="shared" ref="G5:AV5" si="2">G6-G27-G37</f>
        <v>-425</v>
      </c>
      <c r="H5" s="191">
        <f t="shared" si="2"/>
        <v>3525</v>
      </c>
      <c r="I5" s="191">
        <f t="shared" si="2"/>
        <v>-375</v>
      </c>
      <c r="J5" s="191">
        <f t="shared" si="2"/>
        <v>-13325</v>
      </c>
      <c r="K5" s="191">
        <f t="shared" si="2"/>
        <v>-13325</v>
      </c>
      <c r="L5" s="191">
        <f t="shared" si="2"/>
        <v>-22325</v>
      </c>
      <c r="M5" s="191">
        <f t="shared" si="2"/>
        <v>-8370</v>
      </c>
      <c r="N5" s="191">
        <f t="shared" si="2"/>
        <v>91630</v>
      </c>
      <c r="O5" s="191">
        <f t="shared" si="2"/>
        <v>-8370</v>
      </c>
      <c r="P5" s="191">
        <f t="shared" si="2"/>
        <v>-80314</v>
      </c>
      <c r="Q5" s="191">
        <f t="shared" si="2"/>
        <v>-80314</v>
      </c>
      <c r="R5" s="191">
        <f t="shared" si="2"/>
        <v>229686</v>
      </c>
      <c r="S5" s="191">
        <f t="shared" si="2"/>
        <v>-20314</v>
      </c>
      <c r="T5" s="191">
        <f t="shared" si="2"/>
        <v>-20314</v>
      </c>
      <c r="U5" s="191">
        <f t="shared" si="2"/>
        <v>-20314</v>
      </c>
      <c r="V5" s="191">
        <f t="shared" si="2"/>
        <v>-20314</v>
      </c>
      <c r="W5" s="191">
        <f t="shared" si="2"/>
        <v>-20314</v>
      </c>
      <c r="X5" s="191">
        <f t="shared" si="2"/>
        <v>-20314</v>
      </c>
      <c r="Y5" s="191">
        <f t="shared" si="2"/>
        <v>-20314</v>
      </c>
      <c r="Z5" s="191">
        <f t="shared" si="2"/>
        <v>-20314</v>
      </c>
      <c r="AA5" s="191">
        <f t="shared" si="2"/>
        <v>-20314</v>
      </c>
      <c r="AB5" s="191">
        <f t="shared" si="2"/>
        <v>-20314</v>
      </c>
      <c r="AC5" s="191">
        <f t="shared" si="2"/>
        <v>-20314</v>
      </c>
      <c r="AD5" s="191">
        <f t="shared" si="2"/>
        <v>-20314</v>
      </c>
      <c r="AE5" s="191">
        <f t="shared" si="2"/>
        <v>-20314</v>
      </c>
      <c r="AF5" s="191">
        <f t="shared" si="2"/>
        <v>-20314</v>
      </c>
      <c r="AG5" s="191">
        <f t="shared" si="2"/>
        <v>-20314</v>
      </c>
      <c r="AH5" s="191">
        <f t="shared" si="2"/>
        <v>-20314</v>
      </c>
      <c r="AI5" s="191">
        <f t="shared" si="2"/>
        <v>-20314</v>
      </c>
      <c r="AJ5" s="191">
        <f t="shared" si="2"/>
        <v>-13054</v>
      </c>
      <c r="AK5" s="191">
        <f t="shared" si="2"/>
        <v>-13054</v>
      </c>
      <c r="AL5" s="191">
        <f t="shared" si="2"/>
        <v>-13055</v>
      </c>
      <c r="AM5" s="191">
        <f t="shared" si="2"/>
        <v>-13056</v>
      </c>
      <c r="AN5" s="191">
        <f t="shared" si="2"/>
        <v>-13057</v>
      </c>
      <c r="AO5" s="191">
        <f t="shared" si="2"/>
        <v>-13060</v>
      </c>
      <c r="AP5" s="191">
        <f t="shared" si="2"/>
        <v>-13063</v>
      </c>
      <c r="AQ5" s="191">
        <f t="shared" si="2"/>
        <v>-13066</v>
      </c>
      <c r="AR5" s="191">
        <f t="shared" si="2"/>
        <v>-13069</v>
      </c>
      <c r="AS5" s="191">
        <f t="shared" si="2"/>
        <v>-13072</v>
      </c>
      <c r="AT5" s="191">
        <f t="shared" si="2"/>
        <v>-13075</v>
      </c>
      <c r="AU5" s="191">
        <f t="shared" si="2"/>
        <v>-13078</v>
      </c>
      <c r="AV5" s="191">
        <f t="shared" si="2"/>
        <v>-13081</v>
      </c>
    </row>
    <row r="6" spans="2:48" ht="17.100000000000001" customHeight="1">
      <c r="B6" s="262" t="s">
        <v>370</v>
      </c>
      <c r="C6" s="262"/>
      <c r="D6" s="179" t="s">
        <v>371</v>
      </c>
      <c r="E6" s="197" t="e" cm="1">
        <f t="array" aca="1" ref="E6" ca="1">AVERAGE(_xlfn._xlws.FILTER(G6:AV6, $G$3:$AV$3 &lt;= $E$2))</f>
        <v>#NAME?</v>
      </c>
      <c r="F6" s="183"/>
      <c r="G6" s="192">
        <f t="shared" ref="G6:AV6" si="3">SUM(G7+G14+G19)</f>
        <v>86244</v>
      </c>
      <c r="H6" s="192">
        <f t="shared" si="3"/>
        <v>90194</v>
      </c>
      <c r="I6" s="192">
        <f t="shared" si="3"/>
        <v>92694</v>
      </c>
      <c r="J6" s="192">
        <f t="shared" si="3"/>
        <v>79744</v>
      </c>
      <c r="K6" s="192">
        <f t="shared" si="3"/>
        <v>79744</v>
      </c>
      <c r="L6" s="192">
        <f t="shared" si="3"/>
        <v>79744</v>
      </c>
      <c r="M6" s="192">
        <f t="shared" si="3"/>
        <v>79744</v>
      </c>
      <c r="N6" s="192">
        <f t="shared" si="3"/>
        <v>179744</v>
      </c>
      <c r="O6" s="192">
        <f t="shared" si="3"/>
        <v>79744</v>
      </c>
      <c r="P6" s="192">
        <f t="shared" si="3"/>
        <v>0</v>
      </c>
      <c r="Q6" s="192">
        <f t="shared" si="3"/>
        <v>0</v>
      </c>
      <c r="R6" s="192">
        <f t="shared" si="3"/>
        <v>360000</v>
      </c>
      <c r="S6" s="192">
        <f t="shared" si="3"/>
        <v>60000</v>
      </c>
      <c r="T6" s="192">
        <f t="shared" si="3"/>
        <v>60000</v>
      </c>
      <c r="U6" s="192">
        <f t="shared" si="3"/>
        <v>60000</v>
      </c>
      <c r="V6" s="192">
        <f t="shared" si="3"/>
        <v>60000</v>
      </c>
      <c r="W6" s="192">
        <f t="shared" si="3"/>
        <v>60000</v>
      </c>
      <c r="X6" s="192">
        <f t="shared" si="3"/>
        <v>60000</v>
      </c>
      <c r="Y6" s="192">
        <f t="shared" si="3"/>
        <v>60000</v>
      </c>
      <c r="Z6" s="192">
        <f t="shared" si="3"/>
        <v>60000</v>
      </c>
      <c r="AA6" s="192">
        <f t="shared" si="3"/>
        <v>60000</v>
      </c>
      <c r="AB6" s="192">
        <f t="shared" si="3"/>
        <v>60000</v>
      </c>
      <c r="AC6" s="192">
        <f t="shared" si="3"/>
        <v>60000</v>
      </c>
      <c r="AD6" s="192">
        <f t="shared" si="3"/>
        <v>60000</v>
      </c>
      <c r="AE6" s="192">
        <f t="shared" si="3"/>
        <v>60000</v>
      </c>
      <c r="AF6" s="192">
        <f t="shared" si="3"/>
        <v>60000</v>
      </c>
      <c r="AG6" s="192">
        <f t="shared" si="3"/>
        <v>60000</v>
      </c>
      <c r="AH6" s="192">
        <f t="shared" si="3"/>
        <v>60000</v>
      </c>
      <c r="AI6" s="192">
        <f t="shared" si="3"/>
        <v>60000</v>
      </c>
      <c r="AJ6" s="192">
        <f t="shared" si="3"/>
        <v>60000</v>
      </c>
      <c r="AK6" s="192">
        <f t="shared" si="3"/>
        <v>60000</v>
      </c>
      <c r="AL6" s="192">
        <f t="shared" si="3"/>
        <v>60000</v>
      </c>
      <c r="AM6" s="192">
        <f t="shared" si="3"/>
        <v>60000</v>
      </c>
      <c r="AN6" s="192">
        <f t="shared" si="3"/>
        <v>60000</v>
      </c>
      <c r="AO6" s="192">
        <f t="shared" si="3"/>
        <v>60001</v>
      </c>
      <c r="AP6" s="192">
        <f t="shared" si="3"/>
        <v>60002</v>
      </c>
      <c r="AQ6" s="192">
        <f t="shared" si="3"/>
        <v>60003</v>
      </c>
      <c r="AR6" s="192">
        <f t="shared" si="3"/>
        <v>60004</v>
      </c>
      <c r="AS6" s="192">
        <f t="shared" si="3"/>
        <v>60005</v>
      </c>
      <c r="AT6" s="192">
        <f t="shared" si="3"/>
        <v>60006</v>
      </c>
      <c r="AU6" s="192">
        <f t="shared" si="3"/>
        <v>60007</v>
      </c>
      <c r="AV6" s="192">
        <f t="shared" si="3"/>
        <v>60008</v>
      </c>
    </row>
    <row r="7" spans="2:48" ht="15.6" customHeight="1">
      <c r="B7" s="263"/>
      <c r="C7" s="263"/>
      <c r="D7" s="178" t="s">
        <v>372</v>
      </c>
      <c r="E7" s="198" t="e" cm="1">
        <f t="array" aca="1" ref="E7" ca="1">AVERAGE(_xlfn._xlws.FILTER(G7:AV7, $G$3:$AV$3 &lt;= $E$2))</f>
        <v>#NAME?</v>
      </c>
      <c r="F7" s="217" t="e">
        <f ca="1">E7/$E$6</f>
        <v>#NAME?</v>
      </c>
      <c r="G7" s="193">
        <f t="shared" ref="G7:M7" si="4">SUM(G8:G13)</f>
        <v>86244</v>
      </c>
      <c r="H7" s="193">
        <f t="shared" si="4"/>
        <v>90194</v>
      </c>
      <c r="I7" s="193">
        <f t="shared" si="4"/>
        <v>90194</v>
      </c>
      <c r="J7" s="193">
        <f t="shared" si="4"/>
        <v>79744</v>
      </c>
      <c r="K7" s="193">
        <f t="shared" si="4"/>
        <v>79744</v>
      </c>
      <c r="L7" s="193">
        <f t="shared" si="4"/>
        <v>79744</v>
      </c>
      <c r="M7" s="193">
        <f t="shared" si="4"/>
        <v>79744</v>
      </c>
      <c r="N7" s="193">
        <f>SUM(N8:N12)</f>
        <v>179744</v>
      </c>
      <c r="O7" s="193">
        <f t="shared" ref="O7:AV7" si="5">SUM(O8:O13)</f>
        <v>79744</v>
      </c>
      <c r="P7" s="193">
        <f t="shared" si="5"/>
        <v>0</v>
      </c>
      <c r="Q7" s="193">
        <f t="shared" si="5"/>
        <v>0</v>
      </c>
      <c r="R7" s="193">
        <f t="shared" si="5"/>
        <v>360000</v>
      </c>
      <c r="S7" s="193">
        <f t="shared" si="5"/>
        <v>60000</v>
      </c>
      <c r="T7" s="193">
        <f t="shared" si="5"/>
        <v>60000</v>
      </c>
      <c r="U7" s="193">
        <f t="shared" si="5"/>
        <v>60000</v>
      </c>
      <c r="V7" s="193">
        <f t="shared" si="5"/>
        <v>60000</v>
      </c>
      <c r="W7" s="193">
        <f t="shared" si="5"/>
        <v>60000</v>
      </c>
      <c r="X7" s="193">
        <f t="shared" si="5"/>
        <v>60000</v>
      </c>
      <c r="Y7" s="193">
        <f t="shared" si="5"/>
        <v>60000</v>
      </c>
      <c r="Z7" s="193">
        <f t="shared" si="5"/>
        <v>60000</v>
      </c>
      <c r="AA7" s="193">
        <f t="shared" si="5"/>
        <v>60000</v>
      </c>
      <c r="AB7" s="193">
        <f t="shared" si="5"/>
        <v>60000</v>
      </c>
      <c r="AC7" s="193">
        <f t="shared" si="5"/>
        <v>60000</v>
      </c>
      <c r="AD7" s="193">
        <f t="shared" si="5"/>
        <v>60000</v>
      </c>
      <c r="AE7" s="193">
        <f t="shared" si="5"/>
        <v>60000</v>
      </c>
      <c r="AF7" s="193">
        <f t="shared" si="5"/>
        <v>60000</v>
      </c>
      <c r="AG7" s="193">
        <f t="shared" si="5"/>
        <v>60000</v>
      </c>
      <c r="AH7" s="193">
        <f t="shared" si="5"/>
        <v>60000</v>
      </c>
      <c r="AI7" s="193">
        <f t="shared" si="5"/>
        <v>60000</v>
      </c>
      <c r="AJ7" s="193">
        <f t="shared" si="5"/>
        <v>60000</v>
      </c>
      <c r="AK7" s="193">
        <f t="shared" si="5"/>
        <v>60000</v>
      </c>
      <c r="AL7" s="193">
        <f t="shared" si="5"/>
        <v>60000</v>
      </c>
      <c r="AM7" s="193">
        <f t="shared" si="5"/>
        <v>60000</v>
      </c>
      <c r="AN7" s="193">
        <f t="shared" si="5"/>
        <v>60000</v>
      </c>
      <c r="AO7" s="193">
        <f t="shared" si="5"/>
        <v>60001</v>
      </c>
      <c r="AP7" s="193">
        <f t="shared" si="5"/>
        <v>60002</v>
      </c>
      <c r="AQ7" s="193">
        <f t="shared" si="5"/>
        <v>60003</v>
      </c>
      <c r="AR7" s="193">
        <f t="shared" si="5"/>
        <v>60004</v>
      </c>
      <c r="AS7" s="193">
        <f t="shared" si="5"/>
        <v>60005</v>
      </c>
      <c r="AT7" s="193">
        <f t="shared" si="5"/>
        <v>60006</v>
      </c>
      <c r="AU7" s="193">
        <f t="shared" si="5"/>
        <v>60007</v>
      </c>
      <c r="AV7" s="193">
        <f t="shared" si="5"/>
        <v>60008</v>
      </c>
    </row>
    <row r="8" spans="2:48" ht="15.6" customHeight="1" outlineLevel="1">
      <c r="B8" s="263"/>
      <c r="C8" s="263"/>
      <c r="D8" s="177" t="s">
        <v>373</v>
      </c>
      <c r="E8" s="199" t="e" cm="1">
        <f t="array" aca="1" ref="E8" ca="1">AVERAGE(_xlfn._xlws.FILTER(G8:AV8, $G$3:$AV$3 &lt;= $E$2))</f>
        <v>#NAME?</v>
      </c>
      <c r="F8" s="184"/>
      <c r="G8" s="191">
        <v>71244</v>
      </c>
      <c r="H8" s="191">
        <v>71244</v>
      </c>
      <c r="I8" s="191">
        <v>71244</v>
      </c>
      <c r="J8" s="191">
        <v>66244</v>
      </c>
      <c r="K8" s="191">
        <v>66244</v>
      </c>
      <c r="L8" s="191">
        <v>66244</v>
      </c>
      <c r="M8" s="191">
        <v>66244</v>
      </c>
      <c r="N8" s="191">
        <v>66244</v>
      </c>
      <c r="O8" s="191">
        <v>66244</v>
      </c>
      <c r="P8" s="191">
        <v>0</v>
      </c>
      <c r="Q8" s="191">
        <v>0</v>
      </c>
      <c r="R8" s="191">
        <v>60000</v>
      </c>
      <c r="S8" s="191">
        <v>60000</v>
      </c>
      <c r="T8" s="191">
        <v>60000</v>
      </c>
      <c r="U8" s="191">
        <v>60000</v>
      </c>
      <c r="V8" s="191">
        <v>60000</v>
      </c>
      <c r="W8" s="191">
        <v>60000</v>
      </c>
      <c r="X8" s="191">
        <v>60000</v>
      </c>
      <c r="Y8" s="191">
        <v>60000</v>
      </c>
      <c r="Z8" s="191">
        <v>60000</v>
      </c>
      <c r="AA8" s="191">
        <v>60000</v>
      </c>
      <c r="AB8" s="191">
        <v>60000</v>
      </c>
      <c r="AC8" s="191">
        <v>60000</v>
      </c>
      <c r="AD8" s="191">
        <v>60000</v>
      </c>
      <c r="AE8" s="191">
        <v>60000</v>
      </c>
      <c r="AF8" s="191">
        <v>60000</v>
      </c>
      <c r="AG8" s="191">
        <v>60000</v>
      </c>
      <c r="AH8" s="191">
        <v>60000</v>
      </c>
      <c r="AI8" s="191">
        <v>60000</v>
      </c>
      <c r="AJ8" s="191">
        <v>60000</v>
      </c>
      <c r="AK8" s="191">
        <v>60000</v>
      </c>
      <c r="AL8" s="191">
        <v>60000</v>
      </c>
      <c r="AM8" s="191">
        <v>60000</v>
      </c>
      <c r="AN8" s="191">
        <v>60000</v>
      </c>
      <c r="AO8" s="191">
        <v>60001</v>
      </c>
      <c r="AP8" s="191">
        <v>60002</v>
      </c>
      <c r="AQ8" s="191">
        <v>60003</v>
      </c>
      <c r="AR8" s="191">
        <v>60004</v>
      </c>
      <c r="AS8" s="191">
        <v>60005</v>
      </c>
      <c r="AT8" s="191">
        <v>60006</v>
      </c>
      <c r="AU8" s="191">
        <v>60007</v>
      </c>
      <c r="AV8" s="191">
        <v>60008</v>
      </c>
    </row>
    <row r="9" spans="2:48" ht="15.6" customHeight="1" outlineLevel="1">
      <c r="B9" s="263"/>
      <c r="C9" s="263"/>
      <c r="D9" s="177" t="s">
        <v>374</v>
      </c>
      <c r="E9" s="199" t="e" cm="1">
        <f t="array" aca="1" ref="E9" ca="1">AVERAGE(_xlfn._xlws.FILTER(G9:AV9, $G$3:$AV$3 &lt;= $E$2))</f>
        <v>#NAME?</v>
      </c>
      <c r="F9" s="184"/>
      <c r="G9" s="191">
        <v>0</v>
      </c>
      <c r="H9" s="191">
        <v>18950</v>
      </c>
      <c r="I9" s="191">
        <v>18950</v>
      </c>
      <c r="J9" s="191">
        <v>13500</v>
      </c>
      <c r="K9" s="191">
        <v>13500</v>
      </c>
      <c r="L9" s="191">
        <v>13500</v>
      </c>
      <c r="M9" s="191">
        <v>13500</v>
      </c>
      <c r="N9" s="191">
        <v>13500</v>
      </c>
      <c r="O9" s="191">
        <v>13500</v>
      </c>
      <c r="P9" s="191">
        <v>0</v>
      </c>
      <c r="Q9" s="191">
        <v>0</v>
      </c>
      <c r="R9" s="191">
        <v>0</v>
      </c>
      <c r="S9" s="191">
        <v>0</v>
      </c>
      <c r="T9" s="191">
        <v>0</v>
      </c>
      <c r="U9" s="191">
        <v>0</v>
      </c>
      <c r="V9" s="191">
        <v>0</v>
      </c>
      <c r="W9" s="191">
        <v>0</v>
      </c>
      <c r="X9" s="191">
        <v>0</v>
      </c>
      <c r="Y9" s="191">
        <v>0</v>
      </c>
      <c r="Z9" s="191">
        <v>0</v>
      </c>
      <c r="AA9" s="191">
        <v>0</v>
      </c>
      <c r="AB9" s="191">
        <v>0</v>
      </c>
      <c r="AC9" s="191">
        <v>0</v>
      </c>
      <c r="AD9" s="191">
        <v>0</v>
      </c>
      <c r="AE9" s="191">
        <v>0</v>
      </c>
      <c r="AF9" s="191">
        <v>0</v>
      </c>
      <c r="AG9" s="191">
        <v>0</v>
      </c>
      <c r="AH9" s="191">
        <v>0</v>
      </c>
      <c r="AI9" s="191">
        <v>0</v>
      </c>
      <c r="AJ9" s="191">
        <v>0</v>
      </c>
      <c r="AK9" s="191">
        <v>0</v>
      </c>
      <c r="AL9" s="191">
        <v>0</v>
      </c>
      <c r="AM9" s="191">
        <v>0</v>
      </c>
      <c r="AN9" s="191">
        <v>0</v>
      </c>
      <c r="AO9" s="191">
        <v>0</v>
      </c>
      <c r="AP9" s="191">
        <v>0</v>
      </c>
      <c r="AQ9" s="191">
        <v>0</v>
      </c>
      <c r="AR9" s="191">
        <v>0</v>
      </c>
      <c r="AS9" s="191">
        <v>0</v>
      </c>
      <c r="AT9" s="191">
        <v>0</v>
      </c>
      <c r="AU9" s="191">
        <v>0</v>
      </c>
      <c r="AV9" s="191">
        <v>0</v>
      </c>
    </row>
    <row r="10" spans="2:48" ht="15.6" customHeight="1" outlineLevel="1">
      <c r="B10" s="263"/>
      <c r="C10" s="263"/>
      <c r="D10" s="177" t="s">
        <v>375</v>
      </c>
      <c r="E10" s="199" t="e" cm="1">
        <f t="array" aca="1" ref="E10" ca="1">AVERAGE(_xlfn._xlws.FILTER(G10:AV10, $G$3:$AV$3 &lt;= $E$2))</f>
        <v>#NAME?</v>
      </c>
      <c r="F10" s="184"/>
      <c r="G10" s="191">
        <v>0</v>
      </c>
      <c r="H10" s="191">
        <v>0</v>
      </c>
      <c r="I10" s="191">
        <v>0</v>
      </c>
      <c r="J10" s="191">
        <v>0</v>
      </c>
      <c r="K10" s="191">
        <v>0</v>
      </c>
      <c r="L10" s="191">
        <v>0</v>
      </c>
      <c r="M10" s="191">
        <v>0</v>
      </c>
      <c r="N10" s="191">
        <v>50000</v>
      </c>
      <c r="O10" s="191">
        <v>0</v>
      </c>
      <c r="P10" s="191">
        <v>0</v>
      </c>
      <c r="Q10" s="191">
        <v>0</v>
      </c>
      <c r="R10" s="191">
        <v>0</v>
      </c>
      <c r="S10" s="191">
        <v>0</v>
      </c>
      <c r="T10" s="191">
        <v>0</v>
      </c>
      <c r="U10" s="191">
        <v>0</v>
      </c>
      <c r="V10" s="191">
        <v>0</v>
      </c>
      <c r="W10" s="191">
        <v>0</v>
      </c>
      <c r="X10" s="191">
        <v>0</v>
      </c>
      <c r="Y10" s="191">
        <v>0</v>
      </c>
      <c r="Z10" s="191">
        <v>0</v>
      </c>
      <c r="AA10" s="191">
        <v>0</v>
      </c>
      <c r="AB10" s="191">
        <v>0</v>
      </c>
      <c r="AC10" s="191">
        <v>0</v>
      </c>
      <c r="AD10" s="191">
        <v>0</v>
      </c>
      <c r="AE10" s="191">
        <v>0</v>
      </c>
      <c r="AF10" s="191">
        <v>0</v>
      </c>
      <c r="AG10" s="191">
        <v>0</v>
      </c>
      <c r="AH10" s="191">
        <v>0</v>
      </c>
      <c r="AI10" s="191">
        <v>0</v>
      </c>
      <c r="AJ10" s="191">
        <v>0</v>
      </c>
      <c r="AK10" s="191">
        <v>0</v>
      </c>
      <c r="AL10" s="191">
        <v>0</v>
      </c>
      <c r="AM10" s="191">
        <v>0</v>
      </c>
      <c r="AN10" s="191">
        <v>0</v>
      </c>
      <c r="AO10" s="191">
        <v>0</v>
      </c>
      <c r="AP10" s="191">
        <v>0</v>
      </c>
      <c r="AQ10" s="191">
        <v>0</v>
      </c>
      <c r="AR10" s="191">
        <v>0</v>
      </c>
      <c r="AS10" s="191">
        <v>0</v>
      </c>
      <c r="AT10" s="191">
        <v>0</v>
      </c>
      <c r="AU10" s="191">
        <v>0</v>
      </c>
      <c r="AV10" s="191">
        <v>0</v>
      </c>
    </row>
    <row r="11" spans="2:48" ht="15.6" customHeight="1" outlineLevel="1">
      <c r="B11" s="263"/>
      <c r="C11" s="263"/>
      <c r="D11" s="177" t="s">
        <v>376</v>
      </c>
      <c r="E11" s="199" t="e" cm="1">
        <f t="array" aca="1" ref="E11" ca="1">AVERAGE(_xlfn._xlws.FILTER(G11:AV11, $G$3:$AV$3 &lt;= $E$2))</f>
        <v>#NAME?</v>
      </c>
      <c r="F11" s="184"/>
      <c r="G11" s="191">
        <v>0</v>
      </c>
      <c r="H11" s="191">
        <v>0</v>
      </c>
      <c r="I11" s="191">
        <v>0</v>
      </c>
      <c r="J11" s="191">
        <v>0</v>
      </c>
      <c r="K11" s="191">
        <v>0</v>
      </c>
      <c r="L11" s="191">
        <v>0</v>
      </c>
      <c r="M11" s="191">
        <v>0</v>
      </c>
      <c r="N11" s="191">
        <v>50000</v>
      </c>
      <c r="O11" s="191">
        <v>0</v>
      </c>
      <c r="P11" s="191">
        <v>0</v>
      </c>
      <c r="Q11" s="191">
        <v>0</v>
      </c>
      <c r="R11" s="191">
        <v>0</v>
      </c>
      <c r="S11" s="191">
        <v>0</v>
      </c>
      <c r="T11" s="191">
        <v>0</v>
      </c>
      <c r="U11" s="191">
        <v>0</v>
      </c>
      <c r="V11" s="191">
        <v>0</v>
      </c>
      <c r="W11" s="191">
        <v>0</v>
      </c>
      <c r="X11" s="191">
        <v>0</v>
      </c>
      <c r="Y11" s="191">
        <v>0</v>
      </c>
      <c r="Z11" s="191">
        <v>0</v>
      </c>
      <c r="AA11" s="191">
        <v>0</v>
      </c>
      <c r="AB11" s="191">
        <v>0</v>
      </c>
      <c r="AC11" s="191">
        <v>0</v>
      </c>
      <c r="AD11" s="191">
        <v>0</v>
      </c>
      <c r="AE11" s="191">
        <v>0</v>
      </c>
      <c r="AF11" s="191">
        <v>0</v>
      </c>
      <c r="AG11" s="191">
        <v>0</v>
      </c>
      <c r="AH11" s="191">
        <v>0</v>
      </c>
      <c r="AI11" s="191">
        <v>0</v>
      </c>
      <c r="AJ11" s="191">
        <v>0</v>
      </c>
      <c r="AK11" s="191">
        <v>0</v>
      </c>
      <c r="AL11" s="191">
        <v>0</v>
      </c>
      <c r="AM11" s="191">
        <v>0</v>
      </c>
      <c r="AN11" s="191">
        <v>0</v>
      </c>
      <c r="AO11" s="191">
        <v>0</v>
      </c>
      <c r="AP11" s="191">
        <v>0</v>
      </c>
      <c r="AQ11" s="191">
        <v>0</v>
      </c>
      <c r="AR11" s="191">
        <v>0</v>
      </c>
      <c r="AS11" s="191">
        <v>0</v>
      </c>
      <c r="AT11" s="191">
        <v>0</v>
      </c>
      <c r="AU11" s="191">
        <v>0</v>
      </c>
      <c r="AV11" s="191">
        <v>0</v>
      </c>
    </row>
    <row r="12" spans="2:48" ht="15.6" customHeight="1" outlineLevel="1">
      <c r="B12" s="263"/>
      <c r="C12" s="263"/>
      <c r="D12" s="177" t="s">
        <v>377</v>
      </c>
      <c r="E12" s="199" t="e" cm="1">
        <f t="array" aca="1" ref="E12" ca="1">AVERAGE(_xlfn._xlws.FILTER(G12:AV12, $G$3:$AV$3 &lt;= $E$2))</f>
        <v>#NAME?</v>
      </c>
      <c r="F12" s="184"/>
      <c r="G12" s="191">
        <v>15000</v>
      </c>
      <c r="H12" s="191">
        <v>0</v>
      </c>
      <c r="I12" s="191">
        <v>0</v>
      </c>
      <c r="J12" s="191">
        <v>0</v>
      </c>
      <c r="K12" s="191">
        <v>0</v>
      </c>
      <c r="L12" s="191">
        <v>0</v>
      </c>
      <c r="M12" s="191">
        <v>0</v>
      </c>
      <c r="N12" s="191">
        <v>0</v>
      </c>
      <c r="O12" s="191">
        <v>0</v>
      </c>
      <c r="P12" s="191">
        <v>0</v>
      </c>
      <c r="Q12" s="191">
        <v>0</v>
      </c>
      <c r="R12" s="191">
        <v>0</v>
      </c>
      <c r="S12" s="191">
        <v>0</v>
      </c>
      <c r="T12" s="191">
        <v>0</v>
      </c>
      <c r="U12" s="191">
        <v>0</v>
      </c>
      <c r="V12" s="191">
        <v>0</v>
      </c>
      <c r="W12" s="191">
        <v>0</v>
      </c>
      <c r="X12" s="191">
        <v>0</v>
      </c>
      <c r="Y12" s="191">
        <v>0</v>
      </c>
      <c r="Z12" s="191">
        <v>0</v>
      </c>
      <c r="AA12" s="191">
        <v>0</v>
      </c>
      <c r="AB12" s="191">
        <v>0</v>
      </c>
      <c r="AC12" s="191">
        <v>0</v>
      </c>
      <c r="AD12" s="191">
        <v>0</v>
      </c>
      <c r="AE12" s="191">
        <v>0</v>
      </c>
      <c r="AF12" s="191">
        <v>0</v>
      </c>
      <c r="AG12" s="191">
        <v>0</v>
      </c>
      <c r="AH12" s="191">
        <v>0</v>
      </c>
      <c r="AI12" s="191">
        <v>0</v>
      </c>
      <c r="AJ12" s="191">
        <v>0</v>
      </c>
      <c r="AK12" s="191">
        <v>0</v>
      </c>
      <c r="AL12" s="191">
        <v>0</v>
      </c>
      <c r="AM12" s="191">
        <v>0</v>
      </c>
      <c r="AN12" s="191">
        <v>0</v>
      </c>
      <c r="AO12" s="191">
        <v>0</v>
      </c>
      <c r="AP12" s="191">
        <v>0</v>
      </c>
      <c r="AQ12" s="191">
        <v>0</v>
      </c>
      <c r="AR12" s="191">
        <v>0</v>
      </c>
      <c r="AS12" s="191">
        <v>0</v>
      </c>
      <c r="AT12" s="191">
        <v>0</v>
      </c>
      <c r="AU12" s="191">
        <v>0</v>
      </c>
      <c r="AV12" s="191">
        <v>0</v>
      </c>
    </row>
    <row r="13" spans="2:48" ht="15.6" customHeight="1" outlineLevel="1">
      <c r="B13" s="263"/>
      <c r="C13" s="263"/>
      <c r="D13" s="177" t="s">
        <v>378</v>
      </c>
      <c r="E13" s="199" t="e" cm="1">
        <f t="array" aca="1" ref="E13" ca="1">AVERAGE(_xlfn._xlws.FILTER(G13:AV13, $G$3:$AV$3 &lt;= $E$2))</f>
        <v>#NAME?</v>
      </c>
      <c r="F13" s="184"/>
      <c r="G13" s="191">
        <v>0</v>
      </c>
      <c r="H13" s="191">
        <v>0</v>
      </c>
      <c r="I13" s="191">
        <v>0</v>
      </c>
      <c r="J13" s="191">
        <v>0</v>
      </c>
      <c r="K13" s="191">
        <v>0</v>
      </c>
      <c r="L13" s="191">
        <v>0</v>
      </c>
      <c r="M13" s="191">
        <v>0</v>
      </c>
      <c r="N13" s="191">
        <v>0</v>
      </c>
      <c r="O13" s="191">
        <v>0</v>
      </c>
      <c r="P13" s="191">
        <v>0</v>
      </c>
      <c r="Q13" s="191">
        <v>0</v>
      </c>
      <c r="R13" s="191">
        <v>300000</v>
      </c>
      <c r="S13" s="191">
        <v>0</v>
      </c>
      <c r="T13" s="191">
        <v>0</v>
      </c>
      <c r="U13" s="191">
        <v>0</v>
      </c>
      <c r="V13" s="191">
        <v>0</v>
      </c>
      <c r="W13" s="191">
        <v>0</v>
      </c>
      <c r="X13" s="191">
        <v>0</v>
      </c>
      <c r="Y13" s="191">
        <v>0</v>
      </c>
      <c r="Z13" s="191">
        <v>0</v>
      </c>
      <c r="AA13" s="191">
        <v>0</v>
      </c>
      <c r="AB13" s="191">
        <v>0</v>
      </c>
      <c r="AC13" s="191">
        <v>0</v>
      </c>
      <c r="AD13" s="191">
        <v>0</v>
      </c>
      <c r="AE13" s="191">
        <v>0</v>
      </c>
      <c r="AF13" s="191">
        <v>0</v>
      </c>
      <c r="AG13" s="191">
        <v>0</v>
      </c>
      <c r="AH13" s="191">
        <v>0</v>
      </c>
      <c r="AI13" s="191">
        <v>0</v>
      </c>
      <c r="AJ13" s="191">
        <v>0</v>
      </c>
      <c r="AK13" s="191">
        <v>0</v>
      </c>
      <c r="AL13" s="191">
        <v>0</v>
      </c>
      <c r="AM13" s="191">
        <v>0</v>
      </c>
      <c r="AN13" s="191">
        <v>0</v>
      </c>
      <c r="AO13" s="191">
        <v>0</v>
      </c>
      <c r="AP13" s="191">
        <v>0</v>
      </c>
      <c r="AQ13" s="191">
        <v>0</v>
      </c>
      <c r="AR13" s="191">
        <v>0</v>
      </c>
      <c r="AS13" s="191">
        <v>0</v>
      </c>
      <c r="AT13" s="191">
        <v>0</v>
      </c>
      <c r="AU13" s="191">
        <v>0</v>
      </c>
      <c r="AV13" s="191">
        <v>0</v>
      </c>
    </row>
    <row r="14" spans="2:48">
      <c r="B14" s="263"/>
      <c r="C14" s="263"/>
      <c r="D14" s="178" t="s">
        <v>379</v>
      </c>
      <c r="E14" s="198" t="e" cm="1">
        <f t="array" aca="1" ref="E14" ca="1">AVERAGE(_xlfn._xlws.FILTER(G14:AV14, $G$3:$AV$3 &lt;= $E$2))</f>
        <v>#NAME?</v>
      </c>
      <c r="F14" s="217" t="e">
        <f ca="1">E14/$E$6</f>
        <v>#NAME?</v>
      </c>
      <c r="G14" s="194">
        <f t="shared" ref="G14:AV14" si="6">SUM(G15:G18)</f>
        <v>0</v>
      </c>
      <c r="H14" s="194">
        <f t="shared" si="6"/>
        <v>0</v>
      </c>
      <c r="I14" s="194">
        <f t="shared" si="6"/>
        <v>2500</v>
      </c>
      <c r="J14" s="194">
        <f t="shared" si="6"/>
        <v>0</v>
      </c>
      <c r="K14" s="194">
        <f t="shared" si="6"/>
        <v>0</v>
      </c>
      <c r="L14" s="194">
        <f t="shared" si="6"/>
        <v>0</v>
      </c>
      <c r="M14" s="194">
        <f t="shared" si="6"/>
        <v>0</v>
      </c>
      <c r="N14" s="194">
        <f t="shared" si="6"/>
        <v>0</v>
      </c>
      <c r="O14" s="194">
        <f t="shared" si="6"/>
        <v>0</v>
      </c>
      <c r="P14" s="194">
        <f t="shared" si="6"/>
        <v>0</v>
      </c>
      <c r="Q14" s="194">
        <f t="shared" si="6"/>
        <v>0</v>
      </c>
      <c r="R14" s="194">
        <f t="shared" si="6"/>
        <v>0</v>
      </c>
      <c r="S14" s="194">
        <f t="shared" si="6"/>
        <v>0</v>
      </c>
      <c r="T14" s="194">
        <f t="shared" si="6"/>
        <v>0</v>
      </c>
      <c r="U14" s="194">
        <f t="shared" si="6"/>
        <v>0</v>
      </c>
      <c r="V14" s="194">
        <f t="shared" si="6"/>
        <v>0</v>
      </c>
      <c r="W14" s="194">
        <f t="shared" si="6"/>
        <v>0</v>
      </c>
      <c r="X14" s="194">
        <f t="shared" si="6"/>
        <v>0</v>
      </c>
      <c r="Y14" s="194">
        <f t="shared" si="6"/>
        <v>0</v>
      </c>
      <c r="Z14" s="194">
        <f t="shared" si="6"/>
        <v>0</v>
      </c>
      <c r="AA14" s="194">
        <f t="shared" si="6"/>
        <v>0</v>
      </c>
      <c r="AB14" s="194">
        <f t="shared" si="6"/>
        <v>0</v>
      </c>
      <c r="AC14" s="194">
        <f t="shared" si="6"/>
        <v>0</v>
      </c>
      <c r="AD14" s="194">
        <f t="shared" si="6"/>
        <v>0</v>
      </c>
      <c r="AE14" s="194">
        <f t="shared" si="6"/>
        <v>0</v>
      </c>
      <c r="AF14" s="194">
        <f t="shared" si="6"/>
        <v>0</v>
      </c>
      <c r="AG14" s="194">
        <f t="shared" si="6"/>
        <v>0</v>
      </c>
      <c r="AH14" s="194">
        <f t="shared" si="6"/>
        <v>0</v>
      </c>
      <c r="AI14" s="194">
        <f t="shared" si="6"/>
        <v>0</v>
      </c>
      <c r="AJ14" s="194">
        <f t="shared" si="6"/>
        <v>0</v>
      </c>
      <c r="AK14" s="194">
        <f t="shared" si="6"/>
        <v>0</v>
      </c>
      <c r="AL14" s="194">
        <f t="shared" si="6"/>
        <v>0</v>
      </c>
      <c r="AM14" s="194">
        <f t="shared" si="6"/>
        <v>0</v>
      </c>
      <c r="AN14" s="194">
        <f t="shared" si="6"/>
        <v>0</v>
      </c>
      <c r="AO14" s="194">
        <f t="shared" si="6"/>
        <v>0</v>
      </c>
      <c r="AP14" s="194">
        <f t="shared" si="6"/>
        <v>0</v>
      </c>
      <c r="AQ14" s="194">
        <f t="shared" si="6"/>
        <v>0</v>
      </c>
      <c r="AR14" s="194">
        <f t="shared" si="6"/>
        <v>0</v>
      </c>
      <c r="AS14" s="194">
        <f t="shared" si="6"/>
        <v>0</v>
      </c>
      <c r="AT14" s="194">
        <f t="shared" si="6"/>
        <v>0</v>
      </c>
      <c r="AU14" s="194">
        <f t="shared" si="6"/>
        <v>0</v>
      </c>
      <c r="AV14" s="194">
        <f t="shared" si="6"/>
        <v>0</v>
      </c>
    </row>
    <row r="15" spans="2:48" ht="15.6" customHeight="1" outlineLevel="1">
      <c r="B15" s="263"/>
      <c r="C15" s="263"/>
      <c r="D15" s="177" t="s">
        <v>380</v>
      </c>
      <c r="E15" s="199" t="e" cm="1">
        <f t="array" aca="1" ref="E15" ca="1">AVERAGE(_xlfn._xlws.FILTER(G15:AV15, $G$3:$AV$3 &lt;= $E$2))</f>
        <v>#NAME?</v>
      </c>
      <c r="F15" s="184"/>
      <c r="G15" s="191">
        <v>0</v>
      </c>
      <c r="H15" s="191">
        <v>0</v>
      </c>
      <c r="I15" s="191">
        <v>0</v>
      </c>
      <c r="J15" s="191">
        <v>0</v>
      </c>
      <c r="K15" s="191">
        <v>0</v>
      </c>
      <c r="L15" s="191">
        <v>0</v>
      </c>
      <c r="M15" s="191">
        <v>0</v>
      </c>
      <c r="N15" s="191">
        <v>0</v>
      </c>
      <c r="O15" s="191">
        <v>0</v>
      </c>
      <c r="P15" s="191">
        <v>0</v>
      </c>
      <c r="Q15" s="191">
        <v>0</v>
      </c>
      <c r="R15" s="191">
        <v>0</v>
      </c>
      <c r="S15" s="191">
        <v>0</v>
      </c>
      <c r="T15" s="191">
        <v>0</v>
      </c>
      <c r="U15" s="191">
        <v>0</v>
      </c>
      <c r="V15" s="191">
        <v>0</v>
      </c>
      <c r="W15" s="191">
        <v>0</v>
      </c>
      <c r="X15" s="191">
        <v>0</v>
      </c>
      <c r="Y15" s="191">
        <v>0</v>
      </c>
      <c r="Z15" s="191">
        <v>0</v>
      </c>
      <c r="AA15" s="191">
        <v>0</v>
      </c>
      <c r="AB15" s="191">
        <v>0</v>
      </c>
      <c r="AC15" s="191">
        <v>0</v>
      </c>
      <c r="AD15" s="191">
        <v>0</v>
      </c>
      <c r="AE15" s="191">
        <v>0</v>
      </c>
      <c r="AF15" s="191">
        <v>0</v>
      </c>
      <c r="AG15" s="191">
        <v>0</v>
      </c>
      <c r="AH15" s="191">
        <v>0</v>
      </c>
      <c r="AI15" s="191">
        <v>0</v>
      </c>
      <c r="AJ15" s="191">
        <v>0</v>
      </c>
      <c r="AK15" s="191">
        <v>0</v>
      </c>
      <c r="AL15" s="191">
        <v>0</v>
      </c>
      <c r="AM15" s="191">
        <v>0</v>
      </c>
      <c r="AN15" s="191">
        <v>0</v>
      </c>
      <c r="AO15" s="191">
        <v>0</v>
      </c>
      <c r="AP15" s="191">
        <v>0</v>
      </c>
      <c r="AQ15" s="191">
        <v>0</v>
      </c>
      <c r="AR15" s="191">
        <v>0</v>
      </c>
      <c r="AS15" s="191">
        <v>0</v>
      </c>
      <c r="AT15" s="191">
        <v>0</v>
      </c>
      <c r="AU15" s="191">
        <v>0</v>
      </c>
      <c r="AV15" s="191">
        <v>0</v>
      </c>
    </row>
    <row r="16" spans="2:48" ht="15.6" customHeight="1" outlineLevel="1">
      <c r="B16" s="263"/>
      <c r="C16" s="263"/>
      <c r="D16" s="177" t="s">
        <v>381</v>
      </c>
      <c r="E16" s="199" t="e" cm="1">
        <f t="array" aca="1" ref="E16" ca="1">AVERAGE(_xlfn._xlws.FILTER(G16:AV16, $G$3:$AV$3 &lt;= $E$2))</f>
        <v>#NAME?</v>
      </c>
      <c r="F16" s="184"/>
      <c r="G16" s="191">
        <v>0</v>
      </c>
      <c r="H16" s="191">
        <v>0</v>
      </c>
      <c r="I16" s="191">
        <f t="shared" ref="I16:AV16" si="7">I36*0.1</f>
        <v>2500</v>
      </c>
      <c r="J16" s="191">
        <f t="shared" si="7"/>
        <v>0</v>
      </c>
      <c r="K16" s="191">
        <f t="shared" si="7"/>
        <v>0</v>
      </c>
      <c r="L16" s="191">
        <f t="shared" si="7"/>
        <v>0</v>
      </c>
      <c r="M16" s="191">
        <f t="shared" si="7"/>
        <v>0</v>
      </c>
      <c r="N16" s="191">
        <f t="shared" si="7"/>
        <v>0</v>
      </c>
      <c r="O16" s="191">
        <f t="shared" si="7"/>
        <v>0</v>
      </c>
      <c r="P16" s="191">
        <f t="shared" si="7"/>
        <v>0</v>
      </c>
      <c r="Q16" s="191">
        <f t="shared" si="7"/>
        <v>0</v>
      </c>
      <c r="R16" s="191">
        <f t="shared" si="7"/>
        <v>0</v>
      </c>
      <c r="S16" s="191">
        <f t="shared" si="7"/>
        <v>0</v>
      </c>
      <c r="T16" s="191">
        <f t="shared" si="7"/>
        <v>0</v>
      </c>
      <c r="U16" s="191">
        <f t="shared" si="7"/>
        <v>0</v>
      </c>
      <c r="V16" s="191">
        <f t="shared" si="7"/>
        <v>0</v>
      </c>
      <c r="W16" s="191">
        <f t="shared" si="7"/>
        <v>0</v>
      </c>
      <c r="X16" s="191">
        <f t="shared" si="7"/>
        <v>0</v>
      </c>
      <c r="Y16" s="191">
        <f t="shared" si="7"/>
        <v>0</v>
      </c>
      <c r="Z16" s="191">
        <f t="shared" si="7"/>
        <v>0</v>
      </c>
      <c r="AA16" s="191">
        <f t="shared" si="7"/>
        <v>0</v>
      </c>
      <c r="AB16" s="191">
        <f t="shared" si="7"/>
        <v>0</v>
      </c>
      <c r="AC16" s="191">
        <f t="shared" si="7"/>
        <v>0</v>
      </c>
      <c r="AD16" s="191">
        <f t="shared" si="7"/>
        <v>0</v>
      </c>
      <c r="AE16" s="191">
        <f t="shared" si="7"/>
        <v>0</v>
      </c>
      <c r="AF16" s="191">
        <f t="shared" si="7"/>
        <v>0</v>
      </c>
      <c r="AG16" s="191">
        <f t="shared" si="7"/>
        <v>0</v>
      </c>
      <c r="AH16" s="191">
        <f t="shared" si="7"/>
        <v>0</v>
      </c>
      <c r="AI16" s="191">
        <f t="shared" si="7"/>
        <v>0</v>
      </c>
      <c r="AJ16" s="191">
        <f t="shared" si="7"/>
        <v>0</v>
      </c>
      <c r="AK16" s="191">
        <f t="shared" si="7"/>
        <v>0</v>
      </c>
      <c r="AL16" s="191">
        <f t="shared" si="7"/>
        <v>0</v>
      </c>
      <c r="AM16" s="191">
        <f t="shared" si="7"/>
        <v>0</v>
      </c>
      <c r="AN16" s="191">
        <f t="shared" si="7"/>
        <v>0</v>
      </c>
      <c r="AO16" s="191">
        <f t="shared" si="7"/>
        <v>0</v>
      </c>
      <c r="AP16" s="191">
        <f t="shared" si="7"/>
        <v>0</v>
      </c>
      <c r="AQ16" s="191">
        <f t="shared" si="7"/>
        <v>0</v>
      </c>
      <c r="AR16" s="191">
        <f t="shared" si="7"/>
        <v>0</v>
      </c>
      <c r="AS16" s="191">
        <f t="shared" si="7"/>
        <v>0</v>
      </c>
      <c r="AT16" s="191">
        <f t="shared" si="7"/>
        <v>0</v>
      </c>
      <c r="AU16" s="191">
        <f t="shared" si="7"/>
        <v>0</v>
      </c>
      <c r="AV16" s="191">
        <f t="shared" si="7"/>
        <v>0</v>
      </c>
    </row>
    <row r="17" spans="2:48" ht="15.6" customHeight="1" outlineLevel="1">
      <c r="B17" s="263"/>
      <c r="C17" s="263"/>
      <c r="D17" s="177" t="s">
        <v>382</v>
      </c>
      <c r="E17" s="199" t="e" cm="1">
        <f t="array" aca="1" ref="E17" ca="1">AVERAGE(_xlfn._xlws.FILTER(G17:AV17, $G$3:$AV$3 &lt;= $E$2))</f>
        <v>#NAME?</v>
      </c>
      <c r="F17" s="184"/>
      <c r="G17" s="191">
        <v>0</v>
      </c>
      <c r="H17" s="191">
        <v>0</v>
      </c>
      <c r="I17" s="191">
        <v>0</v>
      </c>
      <c r="J17" s="191">
        <v>0</v>
      </c>
      <c r="K17" s="191">
        <v>0</v>
      </c>
      <c r="L17" s="191">
        <v>0</v>
      </c>
      <c r="M17" s="191">
        <v>0</v>
      </c>
      <c r="N17" s="191">
        <v>0</v>
      </c>
      <c r="O17" s="191">
        <v>0</v>
      </c>
      <c r="P17" s="191">
        <v>0</v>
      </c>
      <c r="Q17" s="191">
        <v>0</v>
      </c>
      <c r="R17" s="191">
        <v>0</v>
      </c>
      <c r="S17" s="191">
        <v>0</v>
      </c>
      <c r="T17" s="191">
        <v>0</v>
      </c>
      <c r="U17" s="191">
        <v>0</v>
      </c>
      <c r="V17" s="191">
        <v>0</v>
      </c>
      <c r="W17" s="191">
        <v>0</v>
      </c>
      <c r="X17" s="191">
        <v>0</v>
      </c>
      <c r="Y17" s="191">
        <v>0</v>
      </c>
      <c r="Z17" s="191">
        <v>0</v>
      </c>
      <c r="AA17" s="191">
        <v>0</v>
      </c>
      <c r="AB17" s="191">
        <v>0</v>
      </c>
      <c r="AC17" s="191">
        <v>0</v>
      </c>
      <c r="AD17" s="191">
        <v>0</v>
      </c>
      <c r="AE17" s="191">
        <v>0</v>
      </c>
      <c r="AF17" s="191">
        <v>0</v>
      </c>
      <c r="AG17" s="191">
        <v>0</v>
      </c>
      <c r="AH17" s="191">
        <v>0</v>
      </c>
      <c r="AI17" s="191">
        <v>0</v>
      </c>
      <c r="AJ17" s="191">
        <v>0</v>
      </c>
      <c r="AK17" s="191">
        <v>0</v>
      </c>
      <c r="AL17" s="191">
        <v>0</v>
      </c>
      <c r="AM17" s="191">
        <v>0</v>
      </c>
      <c r="AN17" s="191">
        <v>0</v>
      </c>
      <c r="AO17" s="191">
        <v>0</v>
      </c>
      <c r="AP17" s="191">
        <v>0</v>
      </c>
      <c r="AQ17" s="191">
        <v>0</v>
      </c>
      <c r="AR17" s="191">
        <v>0</v>
      </c>
      <c r="AS17" s="191">
        <v>0</v>
      </c>
      <c r="AT17" s="191">
        <v>0</v>
      </c>
      <c r="AU17" s="191">
        <v>0</v>
      </c>
      <c r="AV17" s="191">
        <v>0</v>
      </c>
    </row>
    <row r="18" spans="2:48" ht="15.6" customHeight="1" outlineLevel="1">
      <c r="B18" s="263"/>
      <c r="C18" s="263"/>
      <c r="D18" s="177" t="s">
        <v>378</v>
      </c>
      <c r="E18" s="199" t="e" cm="1">
        <f t="array" aca="1" ref="E18" ca="1">AVERAGE(_xlfn._xlws.FILTER(G18:AV18, $G$3:$AV$3 &lt;= $E$2))</f>
        <v>#NAME?</v>
      </c>
      <c r="F18" s="184"/>
      <c r="G18" s="191">
        <v>0</v>
      </c>
      <c r="H18" s="191">
        <v>0</v>
      </c>
      <c r="I18" s="191">
        <v>0</v>
      </c>
      <c r="J18" s="191">
        <v>0</v>
      </c>
      <c r="K18" s="191">
        <v>0</v>
      </c>
      <c r="L18" s="191">
        <v>0</v>
      </c>
      <c r="M18" s="191">
        <v>0</v>
      </c>
      <c r="N18" s="191">
        <v>0</v>
      </c>
      <c r="O18" s="191">
        <v>0</v>
      </c>
      <c r="P18" s="191">
        <v>0</v>
      </c>
      <c r="Q18" s="191">
        <v>0</v>
      </c>
      <c r="R18" s="191">
        <v>0</v>
      </c>
      <c r="S18" s="191">
        <v>0</v>
      </c>
      <c r="T18" s="191">
        <v>0</v>
      </c>
      <c r="U18" s="191">
        <v>0</v>
      </c>
      <c r="V18" s="191">
        <v>0</v>
      </c>
      <c r="W18" s="191">
        <v>0</v>
      </c>
      <c r="X18" s="191">
        <v>0</v>
      </c>
      <c r="Y18" s="191">
        <v>0</v>
      </c>
      <c r="Z18" s="191">
        <v>0</v>
      </c>
      <c r="AA18" s="191">
        <v>0</v>
      </c>
      <c r="AB18" s="191">
        <v>0</v>
      </c>
      <c r="AC18" s="191">
        <v>0</v>
      </c>
      <c r="AD18" s="191">
        <v>0</v>
      </c>
      <c r="AE18" s="191">
        <v>0</v>
      </c>
      <c r="AF18" s="191">
        <v>0</v>
      </c>
      <c r="AG18" s="191">
        <v>0</v>
      </c>
      <c r="AH18" s="191">
        <v>0</v>
      </c>
      <c r="AI18" s="191">
        <v>0</v>
      </c>
      <c r="AJ18" s="191">
        <v>0</v>
      </c>
      <c r="AK18" s="191">
        <v>0</v>
      </c>
      <c r="AL18" s="191">
        <v>0</v>
      </c>
      <c r="AM18" s="191">
        <v>0</v>
      </c>
      <c r="AN18" s="191">
        <v>0</v>
      </c>
      <c r="AO18" s="191">
        <v>0</v>
      </c>
      <c r="AP18" s="191">
        <v>0</v>
      </c>
      <c r="AQ18" s="191">
        <v>0</v>
      </c>
      <c r="AR18" s="191">
        <v>0</v>
      </c>
      <c r="AS18" s="191">
        <v>0</v>
      </c>
      <c r="AT18" s="191">
        <v>0</v>
      </c>
      <c r="AU18" s="191">
        <v>0</v>
      </c>
      <c r="AV18" s="191">
        <v>0</v>
      </c>
    </row>
    <row r="19" spans="2:48">
      <c r="B19" s="263"/>
      <c r="C19" s="263"/>
      <c r="D19" s="178" t="s">
        <v>383</v>
      </c>
      <c r="E19" s="198" t="e" cm="1">
        <f t="array" aca="1" ref="E19" ca="1">AVERAGE(_xlfn._xlws.FILTER(G19:AV19, $G$3:$AV$3 &lt;= $E$2))</f>
        <v>#NAME?</v>
      </c>
      <c r="F19" s="217" t="e">
        <f ca="1">E19/$E$6</f>
        <v>#NAME?</v>
      </c>
      <c r="G19" s="194">
        <f t="shared" ref="G19:AV19" si="8">SUM(G20:G26)</f>
        <v>0</v>
      </c>
      <c r="H19" s="194">
        <f t="shared" si="8"/>
        <v>0</v>
      </c>
      <c r="I19" s="194">
        <f t="shared" si="8"/>
        <v>0</v>
      </c>
      <c r="J19" s="194">
        <f t="shared" si="8"/>
        <v>0</v>
      </c>
      <c r="K19" s="194">
        <f t="shared" si="8"/>
        <v>0</v>
      </c>
      <c r="L19" s="194">
        <f t="shared" si="8"/>
        <v>0</v>
      </c>
      <c r="M19" s="194">
        <f t="shared" si="8"/>
        <v>0</v>
      </c>
      <c r="N19" s="194">
        <f t="shared" si="8"/>
        <v>0</v>
      </c>
      <c r="O19" s="194">
        <f t="shared" si="8"/>
        <v>0</v>
      </c>
      <c r="P19" s="194">
        <f t="shared" si="8"/>
        <v>0</v>
      </c>
      <c r="Q19" s="194">
        <f t="shared" si="8"/>
        <v>0</v>
      </c>
      <c r="R19" s="194">
        <f t="shared" si="8"/>
        <v>0</v>
      </c>
      <c r="S19" s="194">
        <f t="shared" si="8"/>
        <v>0</v>
      </c>
      <c r="T19" s="194">
        <f t="shared" si="8"/>
        <v>0</v>
      </c>
      <c r="U19" s="194">
        <f t="shared" si="8"/>
        <v>0</v>
      </c>
      <c r="V19" s="194">
        <f t="shared" si="8"/>
        <v>0</v>
      </c>
      <c r="W19" s="194">
        <f t="shared" si="8"/>
        <v>0</v>
      </c>
      <c r="X19" s="194">
        <f t="shared" si="8"/>
        <v>0</v>
      </c>
      <c r="Y19" s="194">
        <f t="shared" si="8"/>
        <v>0</v>
      </c>
      <c r="Z19" s="194">
        <f t="shared" si="8"/>
        <v>0</v>
      </c>
      <c r="AA19" s="194">
        <f t="shared" si="8"/>
        <v>0</v>
      </c>
      <c r="AB19" s="194">
        <f t="shared" si="8"/>
        <v>0</v>
      </c>
      <c r="AC19" s="194">
        <f t="shared" si="8"/>
        <v>0</v>
      </c>
      <c r="AD19" s="194">
        <f t="shared" si="8"/>
        <v>0</v>
      </c>
      <c r="AE19" s="194">
        <f t="shared" si="8"/>
        <v>0</v>
      </c>
      <c r="AF19" s="194">
        <f t="shared" si="8"/>
        <v>0</v>
      </c>
      <c r="AG19" s="194">
        <f t="shared" si="8"/>
        <v>0</v>
      </c>
      <c r="AH19" s="194">
        <f t="shared" si="8"/>
        <v>0</v>
      </c>
      <c r="AI19" s="194">
        <f t="shared" si="8"/>
        <v>0</v>
      </c>
      <c r="AJ19" s="194">
        <f t="shared" si="8"/>
        <v>0</v>
      </c>
      <c r="AK19" s="194">
        <f t="shared" si="8"/>
        <v>0</v>
      </c>
      <c r="AL19" s="194">
        <f t="shared" si="8"/>
        <v>0</v>
      </c>
      <c r="AM19" s="194">
        <f t="shared" si="8"/>
        <v>0</v>
      </c>
      <c r="AN19" s="194">
        <f t="shared" si="8"/>
        <v>0</v>
      </c>
      <c r="AO19" s="194">
        <f t="shared" si="8"/>
        <v>0</v>
      </c>
      <c r="AP19" s="194">
        <f t="shared" si="8"/>
        <v>0</v>
      </c>
      <c r="AQ19" s="194">
        <f t="shared" si="8"/>
        <v>0</v>
      </c>
      <c r="AR19" s="194">
        <f t="shared" si="8"/>
        <v>0</v>
      </c>
      <c r="AS19" s="194">
        <f t="shared" si="8"/>
        <v>0</v>
      </c>
      <c r="AT19" s="194">
        <f t="shared" si="8"/>
        <v>0</v>
      </c>
      <c r="AU19" s="194">
        <f t="shared" si="8"/>
        <v>0</v>
      </c>
      <c r="AV19" s="194">
        <f t="shared" si="8"/>
        <v>0</v>
      </c>
    </row>
    <row r="20" spans="2:48" ht="15.6" customHeight="1" outlineLevel="1">
      <c r="B20" s="263"/>
      <c r="C20" s="263"/>
      <c r="D20" s="177" t="s">
        <v>384</v>
      </c>
      <c r="E20" s="199" t="e" cm="1">
        <f t="array" aca="1" ref="E20" ca="1">AVERAGE(_xlfn._xlws.FILTER(G20:AV20, $G$3:$AV$3 &lt;= $E$2))</f>
        <v>#NAME?</v>
      </c>
      <c r="F20" s="184"/>
      <c r="G20" s="191">
        <v>0</v>
      </c>
      <c r="H20" s="191">
        <v>0</v>
      </c>
      <c r="I20" s="191">
        <v>0</v>
      </c>
      <c r="J20" s="191">
        <v>0</v>
      </c>
      <c r="K20" s="191">
        <v>0</v>
      </c>
      <c r="L20" s="191">
        <v>0</v>
      </c>
      <c r="M20" s="191">
        <v>0</v>
      </c>
      <c r="N20" s="191">
        <v>0</v>
      </c>
      <c r="O20" s="191">
        <v>0</v>
      </c>
      <c r="P20" s="191">
        <v>0</v>
      </c>
      <c r="Q20" s="191">
        <v>0</v>
      </c>
      <c r="R20" s="191">
        <v>0</v>
      </c>
      <c r="S20" s="191">
        <v>0</v>
      </c>
      <c r="T20" s="191">
        <v>0</v>
      </c>
      <c r="U20" s="191">
        <v>0</v>
      </c>
      <c r="V20" s="191">
        <v>0</v>
      </c>
      <c r="W20" s="191">
        <v>0</v>
      </c>
      <c r="X20" s="191">
        <v>0</v>
      </c>
      <c r="Y20" s="191">
        <v>0</v>
      </c>
      <c r="Z20" s="191">
        <v>0</v>
      </c>
      <c r="AA20" s="191">
        <v>0</v>
      </c>
      <c r="AB20" s="191">
        <v>0</v>
      </c>
      <c r="AC20" s="191">
        <v>0</v>
      </c>
      <c r="AD20" s="191">
        <v>0</v>
      </c>
      <c r="AE20" s="191">
        <v>0</v>
      </c>
      <c r="AF20" s="191">
        <v>0</v>
      </c>
      <c r="AG20" s="191">
        <v>0</v>
      </c>
      <c r="AH20" s="191">
        <v>0</v>
      </c>
      <c r="AI20" s="191">
        <v>0</v>
      </c>
      <c r="AJ20" s="191">
        <v>0</v>
      </c>
      <c r="AK20" s="191">
        <v>0</v>
      </c>
      <c r="AL20" s="191">
        <v>0</v>
      </c>
      <c r="AM20" s="191">
        <v>0</v>
      </c>
      <c r="AN20" s="191">
        <v>0</v>
      </c>
      <c r="AO20" s="191">
        <v>0</v>
      </c>
      <c r="AP20" s="191">
        <v>0</v>
      </c>
      <c r="AQ20" s="191">
        <v>0</v>
      </c>
      <c r="AR20" s="191">
        <v>0</v>
      </c>
      <c r="AS20" s="191">
        <v>0</v>
      </c>
      <c r="AT20" s="191">
        <v>0</v>
      </c>
      <c r="AU20" s="191">
        <v>0</v>
      </c>
      <c r="AV20" s="191">
        <v>0</v>
      </c>
    </row>
    <row r="21" spans="2:48" ht="15.6" customHeight="1" outlineLevel="1">
      <c r="B21" s="263"/>
      <c r="C21" s="263"/>
      <c r="D21" s="177" t="s">
        <v>385</v>
      </c>
      <c r="E21" s="199" t="e" cm="1">
        <f t="array" aca="1" ref="E21" ca="1">AVERAGE(_xlfn._xlws.FILTER(G21:AV21, $G$3:$AV$3 &lt;= $E$2))</f>
        <v>#NAME?</v>
      </c>
      <c r="F21" s="184"/>
      <c r="G21" s="191">
        <v>0</v>
      </c>
      <c r="H21" s="191">
        <v>0</v>
      </c>
      <c r="I21" s="191">
        <v>0</v>
      </c>
      <c r="J21" s="191">
        <v>0</v>
      </c>
      <c r="K21" s="191">
        <v>0</v>
      </c>
      <c r="L21" s="191">
        <v>0</v>
      </c>
      <c r="M21" s="191">
        <v>0</v>
      </c>
      <c r="N21" s="191">
        <v>0</v>
      </c>
      <c r="O21" s="191">
        <v>0</v>
      </c>
      <c r="P21" s="191">
        <v>0</v>
      </c>
      <c r="Q21" s="191">
        <v>0</v>
      </c>
      <c r="R21" s="191">
        <v>0</v>
      </c>
      <c r="S21" s="191">
        <v>0</v>
      </c>
      <c r="T21" s="191">
        <v>0</v>
      </c>
      <c r="U21" s="191">
        <v>0</v>
      </c>
      <c r="V21" s="191">
        <v>0</v>
      </c>
      <c r="W21" s="191">
        <v>0</v>
      </c>
      <c r="X21" s="191">
        <v>0</v>
      </c>
      <c r="Y21" s="191">
        <v>0</v>
      </c>
      <c r="Z21" s="191">
        <v>0</v>
      </c>
      <c r="AA21" s="191">
        <v>0</v>
      </c>
      <c r="AB21" s="191">
        <v>0</v>
      </c>
      <c r="AC21" s="191">
        <v>0</v>
      </c>
      <c r="AD21" s="191">
        <v>0</v>
      </c>
      <c r="AE21" s="191">
        <v>0</v>
      </c>
      <c r="AF21" s="191">
        <v>0</v>
      </c>
      <c r="AG21" s="191">
        <v>0</v>
      </c>
      <c r="AH21" s="191">
        <v>0</v>
      </c>
      <c r="AI21" s="191">
        <v>0</v>
      </c>
      <c r="AJ21" s="191">
        <v>0</v>
      </c>
      <c r="AK21" s="191">
        <v>0</v>
      </c>
      <c r="AL21" s="191">
        <v>0</v>
      </c>
      <c r="AM21" s="191">
        <v>0</v>
      </c>
      <c r="AN21" s="191">
        <v>0</v>
      </c>
      <c r="AO21" s="191">
        <v>0</v>
      </c>
      <c r="AP21" s="191">
        <v>0</v>
      </c>
      <c r="AQ21" s="191">
        <v>0</v>
      </c>
      <c r="AR21" s="191">
        <v>0</v>
      </c>
      <c r="AS21" s="191">
        <v>0</v>
      </c>
      <c r="AT21" s="191">
        <v>0</v>
      </c>
      <c r="AU21" s="191">
        <v>0</v>
      </c>
      <c r="AV21" s="191">
        <v>0</v>
      </c>
    </row>
    <row r="22" spans="2:48" ht="15.6" customHeight="1" outlineLevel="1">
      <c r="B22" s="263"/>
      <c r="C22" s="263"/>
      <c r="D22" s="177" t="s">
        <v>386</v>
      </c>
      <c r="E22" s="199" t="e" cm="1">
        <f t="array" aca="1" ref="E22" ca="1">AVERAGE(_xlfn._xlws.FILTER(G22:AV22, $G$3:$AV$3 &lt;= $E$2))</f>
        <v>#NAME?</v>
      </c>
      <c r="F22" s="184"/>
      <c r="G22" s="191">
        <v>0</v>
      </c>
      <c r="H22" s="191">
        <v>0</v>
      </c>
      <c r="I22" s="191">
        <v>0</v>
      </c>
      <c r="J22" s="191">
        <v>0</v>
      </c>
      <c r="K22" s="191">
        <v>0</v>
      </c>
      <c r="L22" s="191">
        <v>0</v>
      </c>
      <c r="M22" s="191">
        <v>0</v>
      </c>
      <c r="N22" s="191">
        <v>0</v>
      </c>
      <c r="O22" s="191">
        <v>0</v>
      </c>
      <c r="P22" s="191">
        <v>0</v>
      </c>
      <c r="Q22" s="191">
        <v>0</v>
      </c>
      <c r="R22" s="191">
        <v>0</v>
      </c>
      <c r="S22" s="191">
        <v>0</v>
      </c>
      <c r="T22" s="191">
        <v>0</v>
      </c>
      <c r="U22" s="191">
        <v>0</v>
      </c>
      <c r="V22" s="191">
        <v>0</v>
      </c>
      <c r="W22" s="191">
        <v>0</v>
      </c>
      <c r="X22" s="191">
        <v>0</v>
      </c>
      <c r="Y22" s="191">
        <v>0</v>
      </c>
      <c r="Z22" s="191">
        <v>0</v>
      </c>
      <c r="AA22" s="191">
        <v>0</v>
      </c>
      <c r="AB22" s="191">
        <v>0</v>
      </c>
      <c r="AC22" s="191">
        <v>0</v>
      </c>
      <c r="AD22" s="191">
        <v>0</v>
      </c>
      <c r="AE22" s="191">
        <v>0</v>
      </c>
      <c r="AF22" s="191">
        <v>0</v>
      </c>
      <c r="AG22" s="191">
        <v>0</v>
      </c>
      <c r="AH22" s="191">
        <v>0</v>
      </c>
      <c r="AI22" s="191">
        <v>0</v>
      </c>
      <c r="AJ22" s="191">
        <v>0</v>
      </c>
      <c r="AK22" s="191">
        <v>0</v>
      </c>
      <c r="AL22" s="191">
        <v>0</v>
      </c>
      <c r="AM22" s="191">
        <v>0</v>
      </c>
      <c r="AN22" s="191">
        <v>0</v>
      </c>
      <c r="AO22" s="191">
        <v>0</v>
      </c>
      <c r="AP22" s="191">
        <v>0</v>
      </c>
      <c r="AQ22" s="191">
        <v>0</v>
      </c>
      <c r="AR22" s="191">
        <v>0</v>
      </c>
      <c r="AS22" s="191">
        <v>0</v>
      </c>
      <c r="AT22" s="191">
        <v>0</v>
      </c>
      <c r="AU22" s="191">
        <v>0</v>
      </c>
      <c r="AV22" s="191">
        <v>0</v>
      </c>
    </row>
    <row r="23" spans="2:48" ht="15.6" customHeight="1" outlineLevel="1">
      <c r="B23" s="263"/>
      <c r="C23" s="263"/>
      <c r="D23" s="177" t="s">
        <v>387</v>
      </c>
      <c r="E23" s="199" t="e" cm="1">
        <f t="array" aca="1" ref="E23" ca="1">AVERAGE(_xlfn._xlws.FILTER(G23:AV23, $G$3:$AV$3 &lt;= $E$2))</f>
        <v>#NAME?</v>
      </c>
      <c r="F23" s="184"/>
      <c r="G23" s="191">
        <v>0</v>
      </c>
      <c r="H23" s="191">
        <v>0</v>
      </c>
      <c r="I23" s="191">
        <v>0</v>
      </c>
      <c r="J23" s="191">
        <v>0</v>
      </c>
      <c r="K23" s="191">
        <v>0</v>
      </c>
      <c r="L23" s="191">
        <v>0</v>
      </c>
      <c r="M23" s="191">
        <v>0</v>
      </c>
      <c r="N23" s="191">
        <v>0</v>
      </c>
      <c r="O23" s="191">
        <v>0</v>
      </c>
      <c r="P23" s="191">
        <v>0</v>
      </c>
      <c r="Q23" s="191">
        <v>0</v>
      </c>
      <c r="R23" s="191">
        <v>0</v>
      </c>
      <c r="S23" s="191">
        <v>0</v>
      </c>
      <c r="T23" s="191">
        <v>0</v>
      </c>
      <c r="U23" s="191">
        <v>0</v>
      </c>
      <c r="V23" s="191">
        <v>0</v>
      </c>
      <c r="W23" s="191">
        <v>0</v>
      </c>
      <c r="X23" s="191">
        <v>0</v>
      </c>
      <c r="Y23" s="191">
        <v>0</v>
      </c>
      <c r="Z23" s="191">
        <v>0</v>
      </c>
      <c r="AA23" s="191">
        <v>0</v>
      </c>
      <c r="AB23" s="191">
        <v>0</v>
      </c>
      <c r="AC23" s="191">
        <v>0</v>
      </c>
      <c r="AD23" s="191">
        <v>0</v>
      </c>
      <c r="AE23" s="191">
        <v>0</v>
      </c>
      <c r="AF23" s="191">
        <v>0</v>
      </c>
      <c r="AG23" s="191">
        <v>0</v>
      </c>
      <c r="AH23" s="191">
        <v>0</v>
      </c>
      <c r="AI23" s="191">
        <v>0</v>
      </c>
      <c r="AJ23" s="191">
        <v>0</v>
      </c>
      <c r="AK23" s="191">
        <v>0</v>
      </c>
      <c r="AL23" s="191">
        <v>0</v>
      </c>
      <c r="AM23" s="191">
        <v>0</v>
      </c>
      <c r="AN23" s="191">
        <v>0</v>
      </c>
      <c r="AO23" s="191">
        <v>0</v>
      </c>
      <c r="AP23" s="191">
        <v>0</v>
      </c>
      <c r="AQ23" s="191">
        <v>0</v>
      </c>
      <c r="AR23" s="191">
        <v>0</v>
      </c>
      <c r="AS23" s="191">
        <v>0</v>
      </c>
      <c r="AT23" s="191">
        <v>0</v>
      </c>
      <c r="AU23" s="191">
        <v>0</v>
      </c>
      <c r="AV23" s="191">
        <v>0</v>
      </c>
    </row>
    <row r="24" spans="2:48" ht="15.6" customHeight="1" outlineLevel="1">
      <c r="B24" s="263"/>
      <c r="C24" s="263"/>
      <c r="D24" s="177" t="s">
        <v>388</v>
      </c>
      <c r="E24" s="199" t="e" cm="1">
        <f t="array" aca="1" ref="E24" ca="1">AVERAGE(_xlfn._xlws.FILTER(G24:AV24, $G$3:$AV$3 &lt;= $E$2))</f>
        <v>#NAME?</v>
      </c>
      <c r="F24" s="184"/>
      <c r="G24" s="191">
        <v>0</v>
      </c>
      <c r="H24" s="191">
        <v>0</v>
      </c>
      <c r="I24" s="191">
        <v>0</v>
      </c>
      <c r="J24" s="191">
        <v>0</v>
      </c>
      <c r="K24" s="191">
        <v>0</v>
      </c>
      <c r="L24" s="191">
        <v>0</v>
      </c>
      <c r="M24" s="191">
        <v>0</v>
      </c>
      <c r="N24" s="191">
        <v>0</v>
      </c>
      <c r="O24" s="191">
        <v>0</v>
      </c>
      <c r="P24" s="191">
        <v>0</v>
      </c>
      <c r="Q24" s="191">
        <v>0</v>
      </c>
      <c r="R24" s="191">
        <v>0</v>
      </c>
      <c r="S24" s="191">
        <v>0</v>
      </c>
      <c r="T24" s="191">
        <v>0</v>
      </c>
      <c r="U24" s="191">
        <v>0</v>
      </c>
      <c r="V24" s="191">
        <v>0</v>
      </c>
      <c r="W24" s="191">
        <v>0</v>
      </c>
      <c r="X24" s="191">
        <v>0</v>
      </c>
      <c r="Y24" s="191">
        <v>0</v>
      </c>
      <c r="Z24" s="191">
        <v>0</v>
      </c>
      <c r="AA24" s="191">
        <v>0</v>
      </c>
      <c r="AB24" s="191">
        <v>0</v>
      </c>
      <c r="AC24" s="191">
        <v>0</v>
      </c>
      <c r="AD24" s="191">
        <v>0</v>
      </c>
      <c r="AE24" s="191">
        <v>0</v>
      </c>
      <c r="AF24" s="191">
        <v>0</v>
      </c>
      <c r="AG24" s="191">
        <v>0</v>
      </c>
      <c r="AH24" s="191">
        <v>0</v>
      </c>
      <c r="AI24" s="191">
        <v>0</v>
      </c>
      <c r="AJ24" s="191">
        <v>0</v>
      </c>
      <c r="AK24" s="191">
        <v>0</v>
      </c>
      <c r="AL24" s="191">
        <v>0</v>
      </c>
      <c r="AM24" s="191">
        <v>0</v>
      </c>
      <c r="AN24" s="191">
        <v>0</v>
      </c>
      <c r="AO24" s="191">
        <v>0</v>
      </c>
      <c r="AP24" s="191">
        <v>0</v>
      </c>
      <c r="AQ24" s="191">
        <v>0</v>
      </c>
      <c r="AR24" s="191">
        <v>0</v>
      </c>
      <c r="AS24" s="191">
        <v>0</v>
      </c>
      <c r="AT24" s="191">
        <v>0</v>
      </c>
      <c r="AU24" s="191">
        <v>0</v>
      </c>
      <c r="AV24" s="191">
        <v>0</v>
      </c>
    </row>
    <row r="25" spans="2:48" ht="15.6" customHeight="1" outlineLevel="1">
      <c r="B25" s="263"/>
      <c r="C25" s="263"/>
      <c r="D25" s="177" t="s">
        <v>389</v>
      </c>
      <c r="E25" s="199" t="e" cm="1">
        <f t="array" aca="1" ref="E25" ca="1">AVERAGE(_xlfn._xlws.FILTER(G25:AV25, $G$3:$AV$3 &lt;= $E$2))</f>
        <v>#NAME?</v>
      </c>
      <c r="F25" s="184"/>
      <c r="G25" s="191">
        <v>0</v>
      </c>
      <c r="H25" s="191">
        <v>0</v>
      </c>
      <c r="I25" s="191">
        <v>0</v>
      </c>
      <c r="J25" s="191">
        <v>0</v>
      </c>
      <c r="K25" s="191">
        <v>0</v>
      </c>
      <c r="L25" s="191">
        <v>0</v>
      </c>
      <c r="M25" s="191">
        <v>0</v>
      </c>
      <c r="N25" s="191">
        <v>0</v>
      </c>
      <c r="O25" s="191">
        <v>0</v>
      </c>
      <c r="P25" s="191">
        <v>0</v>
      </c>
      <c r="Q25" s="191">
        <v>0</v>
      </c>
      <c r="R25" s="191">
        <v>0</v>
      </c>
      <c r="S25" s="191">
        <v>0</v>
      </c>
      <c r="T25" s="191">
        <v>0</v>
      </c>
      <c r="U25" s="191">
        <v>0</v>
      </c>
      <c r="V25" s="191">
        <v>0</v>
      </c>
      <c r="W25" s="191">
        <v>0</v>
      </c>
      <c r="X25" s="191">
        <v>0</v>
      </c>
      <c r="Y25" s="191">
        <v>0</v>
      </c>
      <c r="Z25" s="191">
        <v>0</v>
      </c>
      <c r="AA25" s="191">
        <v>0</v>
      </c>
      <c r="AB25" s="191">
        <v>0</v>
      </c>
      <c r="AC25" s="191">
        <v>0</v>
      </c>
      <c r="AD25" s="191">
        <v>0</v>
      </c>
      <c r="AE25" s="191">
        <v>0</v>
      </c>
      <c r="AF25" s="191">
        <v>0</v>
      </c>
      <c r="AG25" s="191">
        <v>0</v>
      </c>
      <c r="AH25" s="191">
        <v>0</v>
      </c>
      <c r="AI25" s="191">
        <v>0</v>
      </c>
      <c r="AJ25" s="191">
        <v>0</v>
      </c>
      <c r="AK25" s="191">
        <v>0</v>
      </c>
      <c r="AL25" s="191">
        <v>0</v>
      </c>
      <c r="AM25" s="191">
        <v>0</v>
      </c>
      <c r="AN25" s="191">
        <v>0</v>
      </c>
      <c r="AO25" s="191">
        <v>0</v>
      </c>
      <c r="AP25" s="191">
        <v>0</v>
      </c>
      <c r="AQ25" s="191">
        <v>0</v>
      </c>
      <c r="AR25" s="191">
        <v>0</v>
      </c>
      <c r="AS25" s="191">
        <v>0</v>
      </c>
      <c r="AT25" s="191">
        <v>0</v>
      </c>
      <c r="AU25" s="191">
        <v>0</v>
      </c>
      <c r="AV25" s="191">
        <v>0</v>
      </c>
    </row>
    <row r="26" spans="2:48" ht="15.6" customHeight="1" outlineLevel="1">
      <c r="B26" s="263"/>
      <c r="C26" s="263"/>
      <c r="D26" s="177" t="s">
        <v>378</v>
      </c>
      <c r="E26" s="199" t="e" cm="1">
        <f t="array" aca="1" ref="E26" ca="1">AVERAGE(_xlfn._xlws.FILTER(G26:AV26, $G$3:$AV$3 &lt;= $E$2))</f>
        <v>#NAME?</v>
      </c>
      <c r="F26" s="184"/>
      <c r="G26" s="191">
        <v>0</v>
      </c>
      <c r="H26" s="191">
        <v>0</v>
      </c>
      <c r="I26" s="191">
        <v>0</v>
      </c>
      <c r="J26" s="191">
        <v>0</v>
      </c>
      <c r="K26" s="191">
        <v>0</v>
      </c>
      <c r="L26" s="191">
        <v>0</v>
      </c>
      <c r="M26" s="191">
        <v>0</v>
      </c>
      <c r="N26" s="191">
        <v>0</v>
      </c>
      <c r="O26" s="191">
        <v>0</v>
      </c>
      <c r="P26" s="191">
        <v>0</v>
      </c>
      <c r="Q26" s="191">
        <v>0</v>
      </c>
      <c r="R26" s="191">
        <v>0</v>
      </c>
      <c r="S26" s="191">
        <v>0</v>
      </c>
      <c r="T26" s="191">
        <v>0</v>
      </c>
      <c r="U26" s="191">
        <v>0</v>
      </c>
      <c r="V26" s="191">
        <v>0</v>
      </c>
      <c r="W26" s="191">
        <v>0</v>
      </c>
      <c r="X26" s="191">
        <v>0</v>
      </c>
      <c r="Y26" s="191">
        <v>0</v>
      </c>
      <c r="Z26" s="191">
        <v>0</v>
      </c>
      <c r="AA26" s="191">
        <v>0</v>
      </c>
      <c r="AB26" s="191">
        <v>0</v>
      </c>
      <c r="AC26" s="191">
        <v>0</v>
      </c>
      <c r="AD26" s="191">
        <v>0</v>
      </c>
      <c r="AE26" s="191">
        <v>0</v>
      </c>
      <c r="AF26" s="191">
        <v>0</v>
      </c>
      <c r="AG26" s="191">
        <v>0</v>
      </c>
      <c r="AH26" s="191">
        <v>0</v>
      </c>
      <c r="AI26" s="191">
        <v>0</v>
      </c>
      <c r="AJ26" s="191">
        <v>0</v>
      </c>
      <c r="AK26" s="191">
        <v>0</v>
      </c>
      <c r="AL26" s="191">
        <v>0</v>
      </c>
      <c r="AM26" s="191">
        <v>0</v>
      </c>
      <c r="AN26" s="191">
        <v>0</v>
      </c>
      <c r="AO26" s="191">
        <v>0</v>
      </c>
      <c r="AP26" s="191">
        <v>0</v>
      </c>
      <c r="AQ26" s="191">
        <v>0</v>
      </c>
      <c r="AR26" s="191">
        <v>0</v>
      </c>
      <c r="AS26" s="191">
        <v>0</v>
      </c>
      <c r="AT26" s="191">
        <v>0</v>
      </c>
      <c r="AU26" s="191">
        <v>0</v>
      </c>
      <c r="AV26" s="191">
        <v>0</v>
      </c>
    </row>
    <row r="27" spans="2:48" ht="15" customHeight="1" collapsed="1">
      <c r="B27" s="261" t="s">
        <v>261</v>
      </c>
      <c r="C27" s="261"/>
      <c r="D27" s="176" t="s">
        <v>371</v>
      </c>
      <c r="E27" s="200" t="e" cm="1">
        <f t="array" aca="1" ref="E27" ca="1">AVERAGE(_xlfn._xlws.FILTER(G27:AV27, $G$3:$AV$3 &lt;= $E$2))</f>
        <v>#NAME?</v>
      </c>
      <c r="F27" s="185"/>
      <c r="G27" s="195">
        <f t="shared" ref="G27:S27" si="9">SUM(G28+G31+G35)</f>
        <v>0</v>
      </c>
      <c r="H27" s="195">
        <f t="shared" si="9"/>
        <v>0</v>
      </c>
      <c r="I27" s="195">
        <f t="shared" si="9"/>
        <v>0</v>
      </c>
      <c r="J27" s="195">
        <f t="shared" si="9"/>
        <v>0</v>
      </c>
      <c r="K27" s="195">
        <f t="shared" si="9"/>
        <v>0</v>
      </c>
      <c r="L27" s="195">
        <f t="shared" si="9"/>
        <v>0</v>
      </c>
      <c r="M27" s="195">
        <f t="shared" si="9"/>
        <v>0</v>
      </c>
      <c r="N27" s="195">
        <f t="shared" si="9"/>
        <v>0</v>
      </c>
      <c r="O27" s="195">
        <f t="shared" si="9"/>
        <v>0</v>
      </c>
      <c r="P27" s="195">
        <f t="shared" si="9"/>
        <v>0</v>
      </c>
      <c r="Q27" s="195">
        <f t="shared" si="9"/>
        <v>0</v>
      </c>
      <c r="R27" s="195">
        <f t="shared" si="9"/>
        <v>0</v>
      </c>
      <c r="S27" s="195">
        <f t="shared" si="9"/>
        <v>0</v>
      </c>
      <c r="T27" s="195">
        <v>0</v>
      </c>
      <c r="U27" s="195">
        <v>0</v>
      </c>
      <c r="V27" s="195">
        <v>0</v>
      </c>
      <c r="W27" s="195">
        <v>0</v>
      </c>
      <c r="X27" s="195">
        <v>0</v>
      </c>
      <c r="Y27" s="195">
        <v>0</v>
      </c>
      <c r="Z27" s="195">
        <v>0</v>
      </c>
      <c r="AA27" s="195">
        <v>0</v>
      </c>
      <c r="AB27" s="195">
        <v>0</v>
      </c>
      <c r="AC27" s="195">
        <v>0</v>
      </c>
      <c r="AD27" s="195">
        <v>0</v>
      </c>
      <c r="AE27" s="195">
        <v>0</v>
      </c>
      <c r="AF27" s="195">
        <v>0</v>
      </c>
      <c r="AG27" s="195">
        <v>0</v>
      </c>
      <c r="AH27" s="195">
        <v>0</v>
      </c>
      <c r="AI27" s="195">
        <v>0</v>
      </c>
      <c r="AJ27" s="195">
        <v>0</v>
      </c>
      <c r="AK27" s="195">
        <v>0</v>
      </c>
      <c r="AL27" s="195">
        <v>0</v>
      </c>
      <c r="AM27" s="195">
        <v>0</v>
      </c>
      <c r="AN27" s="195">
        <v>0</v>
      </c>
      <c r="AO27" s="195">
        <v>0</v>
      </c>
      <c r="AP27" s="195">
        <v>0</v>
      </c>
      <c r="AQ27" s="195">
        <v>0</v>
      </c>
      <c r="AR27" s="195">
        <v>0</v>
      </c>
      <c r="AS27" s="195">
        <v>0</v>
      </c>
      <c r="AT27" s="195">
        <v>0</v>
      </c>
      <c r="AU27" s="195">
        <v>0</v>
      </c>
      <c r="AV27" s="195">
        <v>0</v>
      </c>
    </row>
    <row r="28" spans="2:48" ht="15" customHeight="1">
      <c r="B28" s="261"/>
      <c r="C28" s="261"/>
      <c r="D28" s="168" t="s">
        <v>390</v>
      </c>
      <c r="E28" s="199" t="e" cm="1">
        <f t="array" aca="1" ref="E28" ca="1">AVERAGE(_xlfn._xlws.FILTER(G28:AV28, $G$3:$AV$3 &lt;= $E$2))</f>
        <v>#NAME?</v>
      </c>
      <c r="F28" s="186"/>
      <c r="G28" s="218">
        <v>0</v>
      </c>
      <c r="H28" s="218">
        <v>0</v>
      </c>
      <c r="I28" s="218">
        <v>0</v>
      </c>
      <c r="J28" s="218">
        <v>0</v>
      </c>
      <c r="K28" s="218">
        <v>0</v>
      </c>
      <c r="L28" s="218">
        <v>0</v>
      </c>
      <c r="M28" s="218">
        <v>0</v>
      </c>
      <c r="N28" s="218">
        <v>0</v>
      </c>
      <c r="O28" s="218">
        <v>0</v>
      </c>
      <c r="P28" s="218">
        <v>0</v>
      </c>
      <c r="Q28" s="218">
        <v>0</v>
      </c>
      <c r="R28" s="218">
        <v>0</v>
      </c>
      <c r="S28" s="218">
        <v>0</v>
      </c>
      <c r="T28" s="191">
        <v>0</v>
      </c>
      <c r="U28" s="191">
        <v>0</v>
      </c>
      <c r="V28" s="191">
        <v>0</v>
      </c>
      <c r="W28" s="191">
        <v>0</v>
      </c>
      <c r="X28" s="191">
        <v>0</v>
      </c>
      <c r="Y28" s="191">
        <v>0</v>
      </c>
      <c r="Z28" s="191">
        <v>0</v>
      </c>
      <c r="AA28" s="191">
        <v>0</v>
      </c>
      <c r="AB28" s="191">
        <v>0</v>
      </c>
      <c r="AC28" s="191">
        <v>0</v>
      </c>
      <c r="AD28" s="191">
        <v>0</v>
      </c>
      <c r="AE28" s="191">
        <v>0</v>
      </c>
      <c r="AF28" s="191">
        <v>0</v>
      </c>
      <c r="AG28" s="191">
        <v>0</v>
      </c>
      <c r="AH28" s="191">
        <v>0</v>
      </c>
      <c r="AI28" s="191">
        <v>0</v>
      </c>
      <c r="AJ28" s="191">
        <v>0</v>
      </c>
      <c r="AK28" s="191">
        <v>0</v>
      </c>
      <c r="AL28" s="191">
        <v>0</v>
      </c>
      <c r="AM28" s="191">
        <v>0</v>
      </c>
      <c r="AN28" s="191">
        <v>0</v>
      </c>
      <c r="AO28" s="191">
        <v>0</v>
      </c>
      <c r="AP28" s="191">
        <v>0</v>
      </c>
      <c r="AQ28" s="191">
        <v>0</v>
      </c>
      <c r="AR28" s="191">
        <v>0</v>
      </c>
      <c r="AS28" s="191">
        <v>0</v>
      </c>
      <c r="AT28" s="191">
        <v>0</v>
      </c>
      <c r="AU28" s="191">
        <v>0</v>
      </c>
      <c r="AV28" s="191">
        <v>0</v>
      </c>
    </row>
    <row r="29" spans="2:48" ht="15" customHeight="1">
      <c r="B29" s="261"/>
      <c r="C29" s="261"/>
      <c r="D29" s="168" t="s">
        <v>391</v>
      </c>
      <c r="E29" s="199" t="e" cm="1">
        <f t="array" aca="1" ref="E29" ca="1">AVERAGE(_xlfn._xlws.FILTER(G29:AV29, $G$3:$AV$3 &lt;= $E$2))</f>
        <v>#NAME?</v>
      </c>
      <c r="F29" s="186"/>
      <c r="G29" s="191">
        <v>0</v>
      </c>
      <c r="H29" s="191">
        <v>0</v>
      </c>
      <c r="I29" s="191">
        <v>0</v>
      </c>
      <c r="J29" s="191">
        <v>0</v>
      </c>
      <c r="K29" s="191">
        <v>0</v>
      </c>
      <c r="L29" s="191">
        <v>0</v>
      </c>
      <c r="M29" s="191">
        <v>0</v>
      </c>
      <c r="N29" s="191">
        <v>0</v>
      </c>
      <c r="O29" s="191">
        <v>0</v>
      </c>
      <c r="P29" s="191">
        <v>0</v>
      </c>
      <c r="Q29" s="191">
        <v>0</v>
      </c>
      <c r="R29" s="191">
        <v>0</v>
      </c>
      <c r="S29" s="191">
        <v>0</v>
      </c>
      <c r="T29" s="191">
        <v>0</v>
      </c>
      <c r="U29" s="191">
        <v>0</v>
      </c>
      <c r="V29" s="191">
        <v>0</v>
      </c>
      <c r="W29" s="191">
        <v>0</v>
      </c>
      <c r="X29" s="191">
        <v>0</v>
      </c>
      <c r="Y29" s="191">
        <v>0</v>
      </c>
      <c r="Z29" s="191">
        <v>0</v>
      </c>
      <c r="AA29" s="191">
        <v>0</v>
      </c>
      <c r="AB29" s="191">
        <v>0</v>
      </c>
      <c r="AC29" s="191">
        <v>0</v>
      </c>
      <c r="AD29" s="191">
        <v>0</v>
      </c>
      <c r="AE29" s="191">
        <v>0</v>
      </c>
      <c r="AF29" s="191">
        <v>0</v>
      </c>
      <c r="AG29" s="191">
        <v>0</v>
      </c>
      <c r="AH29" s="191">
        <v>0</v>
      </c>
      <c r="AI29" s="191">
        <v>0</v>
      </c>
      <c r="AJ29" s="191">
        <v>0</v>
      </c>
      <c r="AK29" s="191">
        <v>0</v>
      </c>
      <c r="AL29" s="191">
        <v>0</v>
      </c>
      <c r="AM29" s="191">
        <v>0</v>
      </c>
      <c r="AN29" s="191">
        <v>0</v>
      </c>
      <c r="AO29" s="191">
        <v>0</v>
      </c>
      <c r="AP29" s="191">
        <v>0</v>
      </c>
      <c r="AQ29" s="191">
        <v>0</v>
      </c>
      <c r="AR29" s="191">
        <v>0</v>
      </c>
      <c r="AS29" s="191">
        <v>0</v>
      </c>
      <c r="AT29" s="191">
        <v>0</v>
      </c>
      <c r="AU29" s="191">
        <v>0</v>
      </c>
      <c r="AV29" s="191">
        <v>0</v>
      </c>
    </row>
    <row r="30" spans="2:48" ht="15" customHeight="1">
      <c r="B30" s="261"/>
      <c r="C30" s="261"/>
      <c r="D30" s="168" t="s">
        <v>392</v>
      </c>
      <c r="E30" s="199" t="e" cm="1">
        <f t="array" aca="1" ref="E30" ca="1">AVERAGE(_xlfn._xlws.FILTER(G30:AV30, $G$3:$AV$3 &lt;= $E$2))</f>
        <v>#NAME?</v>
      </c>
      <c r="F30" s="186"/>
      <c r="G30" s="191">
        <v>0</v>
      </c>
      <c r="H30" s="191">
        <v>0</v>
      </c>
      <c r="I30" s="191">
        <v>0</v>
      </c>
      <c r="J30" s="191">
        <v>0</v>
      </c>
      <c r="K30" s="191">
        <v>0</v>
      </c>
      <c r="L30" s="191">
        <v>0</v>
      </c>
      <c r="M30" s="191">
        <v>0</v>
      </c>
      <c r="N30" s="191">
        <v>0</v>
      </c>
      <c r="O30" s="191">
        <v>0</v>
      </c>
      <c r="P30" s="191">
        <v>0</v>
      </c>
      <c r="Q30" s="191">
        <v>0</v>
      </c>
      <c r="R30" s="191">
        <v>0</v>
      </c>
      <c r="S30" s="191">
        <v>0</v>
      </c>
      <c r="T30" s="191">
        <v>0</v>
      </c>
      <c r="U30" s="191">
        <v>0</v>
      </c>
      <c r="V30" s="191">
        <v>0</v>
      </c>
      <c r="W30" s="191">
        <v>0</v>
      </c>
      <c r="X30" s="191">
        <v>0</v>
      </c>
      <c r="Y30" s="191">
        <v>0</v>
      </c>
      <c r="Z30" s="191">
        <v>0</v>
      </c>
      <c r="AA30" s="191">
        <v>0</v>
      </c>
      <c r="AB30" s="191">
        <v>0</v>
      </c>
      <c r="AC30" s="191">
        <v>0</v>
      </c>
      <c r="AD30" s="191">
        <v>0</v>
      </c>
      <c r="AE30" s="191">
        <v>0</v>
      </c>
      <c r="AF30" s="191">
        <v>0</v>
      </c>
      <c r="AG30" s="191">
        <v>0</v>
      </c>
      <c r="AH30" s="191">
        <v>0</v>
      </c>
      <c r="AI30" s="191">
        <v>0</v>
      </c>
      <c r="AJ30" s="191">
        <v>0</v>
      </c>
      <c r="AK30" s="191">
        <v>0</v>
      </c>
      <c r="AL30" s="191">
        <v>0</v>
      </c>
      <c r="AM30" s="191">
        <v>0</v>
      </c>
      <c r="AN30" s="191">
        <v>0</v>
      </c>
      <c r="AO30" s="191">
        <v>0</v>
      </c>
      <c r="AP30" s="191">
        <v>0</v>
      </c>
      <c r="AQ30" s="191">
        <v>0</v>
      </c>
      <c r="AR30" s="191">
        <v>0</v>
      </c>
      <c r="AS30" s="191">
        <v>0</v>
      </c>
      <c r="AT30" s="191">
        <v>0</v>
      </c>
      <c r="AU30" s="191">
        <v>0</v>
      </c>
      <c r="AV30" s="191">
        <v>0</v>
      </c>
    </row>
    <row r="31" spans="2:48" ht="15" customHeight="1">
      <c r="B31" s="261"/>
      <c r="C31" s="261"/>
      <c r="D31" s="168" t="s">
        <v>393</v>
      </c>
      <c r="E31" s="199" t="e" cm="1">
        <f t="array" aca="1" ref="E31" ca="1">AVERAGE(_xlfn._xlws.FILTER(G31:AV31, $G$3:$AV$3 &lt;= $E$2))</f>
        <v>#NAME?</v>
      </c>
      <c r="F31" s="186"/>
      <c r="G31" s="218">
        <v>0</v>
      </c>
      <c r="H31" s="218">
        <v>0</v>
      </c>
      <c r="I31" s="218">
        <v>0</v>
      </c>
      <c r="J31" s="218">
        <v>0</v>
      </c>
      <c r="K31" s="218">
        <v>0</v>
      </c>
      <c r="L31" s="218">
        <v>0</v>
      </c>
      <c r="M31" s="218">
        <v>0</v>
      </c>
      <c r="N31" s="218">
        <v>0</v>
      </c>
      <c r="O31" s="218">
        <v>0</v>
      </c>
      <c r="P31" s="218">
        <v>0</v>
      </c>
      <c r="Q31" s="218">
        <v>0</v>
      </c>
      <c r="R31" s="218">
        <v>0</v>
      </c>
      <c r="S31" s="218">
        <v>0</v>
      </c>
      <c r="T31" s="191">
        <v>0</v>
      </c>
      <c r="U31" s="191">
        <v>0</v>
      </c>
      <c r="V31" s="191">
        <v>0</v>
      </c>
      <c r="W31" s="191">
        <v>0</v>
      </c>
      <c r="X31" s="191">
        <v>0</v>
      </c>
      <c r="Y31" s="191">
        <v>0</v>
      </c>
      <c r="Z31" s="191">
        <v>0</v>
      </c>
      <c r="AA31" s="191">
        <v>0</v>
      </c>
      <c r="AB31" s="191">
        <v>0</v>
      </c>
      <c r="AC31" s="191">
        <v>0</v>
      </c>
      <c r="AD31" s="191">
        <v>0</v>
      </c>
      <c r="AE31" s="191">
        <v>0</v>
      </c>
      <c r="AF31" s="191">
        <v>0</v>
      </c>
      <c r="AG31" s="191">
        <v>0</v>
      </c>
      <c r="AH31" s="191">
        <v>0</v>
      </c>
      <c r="AI31" s="191">
        <v>0</v>
      </c>
      <c r="AJ31" s="191">
        <v>0</v>
      </c>
      <c r="AK31" s="191">
        <f t="shared" ref="AK31:AV31" si="10">EDATE(AJ31,1)</f>
        <v>31</v>
      </c>
      <c r="AL31" s="191">
        <f t="shared" si="10"/>
        <v>59</v>
      </c>
      <c r="AM31" s="191">
        <f t="shared" si="10"/>
        <v>88</v>
      </c>
      <c r="AN31" s="191">
        <f t="shared" si="10"/>
        <v>119</v>
      </c>
      <c r="AO31" s="191">
        <f t="shared" si="10"/>
        <v>149</v>
      </c>
      <c r="AP31" s="191">
        <f t="shared" si="10"/>
        <v>180</v>
      </c>
      <c r="AQ31" s="191">
        <f t="shared" si="10"/>
        <v>210</v>
      </c>
      <c r="AR31" s="191">
        <f t="shared" si="10"/>
        <v>241</v>
      </c>
      <c r="AS31" s="191">
        <f t="shared" si="10"/>
        <v>272</v>
      </c>
      <c r="AT31" s="191">
        <f t="shared" si="10"/>
        <v>302</v>
      </c>
      <c r="AU31" s="191">
        <f t="shared" si="10"/>
        <v>333</v>
      </c>
      <c r="AV31" s="191">
        <f t="shared" si="10"/>
        <v>363</v>
      </c>
    </row>
    <row r="32" spans="2:48" ht="15" customHeight="1">
      <c r="B32" s="261"/>
      <c r="C32" s="261"/>
      <c r="D32" s="168" t="s">
        <v>394</v>
      </c>
      <c r="E32" s="199" t="e" cm="1">
        <f t="array" aca="1" ref="E32" ca="1">AVERAGE(_xlfn._xlws.FILTER(G32:AV32, $G$3:$AV$3 &lt;= $E$2))</f>
        <v>#NAME?</v>
      </c>
      <c r="F32" s="186"/>
      <c r="G32" s="191">
        <v>0</v>
      </c>
      <c r="H32" s="191">
        <v>0</v>
      </c>
      <c r="I32" s="191">
        <v>0</v>
      </c>
      <c r="J32" s="191">
        <v>0</v>
      </c>
      <c r="K32" s="191">
        <v>0</v>
      </c>
      <c r="L32" s="191">
        <v>0</v>
      </c>
      <c r="M32" s="191">
        <v>0</v>
      </c>
      <c r="N32" s="191">
        <v>0</v>
      </c>
      <c r="O32" s="191">
        <v>0</v>
      </c>
      <c r="P32" s="191">
        <v>0</v>
      </c>
      <c r="Q32" s="191">
        <v>0</v>
      </c>
      <c r="R32" s="191">
        <v>0</v>
      </c>
      <c r="S32" s="191">
        <v>0</v>
      </c>
      <c r="T32" s="191">
        <v>0</v>
      </c>
      <c r="U32" s="191">
        <v>0</v>
      </c>
      <c r="V32" s="191">
        <v>0</v>
      </c>
      <c r="W32" s="191">
        <v>0</v>
      </c>
      <c r="X32" s="191">
        <v>0</v>
      </c>
      <c r="Y32" s="191">
        <v>0</v>
      </c>
      <c r="Z32" s="191">
        <v>0</v>
      </c>
      <c r="AA32" s="191">
        <v>0</v>
      </c>
      <c r="AB32" s="191">
        <v>0</v>
      </c>
      <c r="AC32" s="191">
        <v>0</v>
      </c>
      <c r="AD32" s="191">
        <v>0</v>
      </c>
      <c r="AE32" s="191">
        <v>0</v>
      </c>
      <c r="AF32" s="191">
        <v>0</v>
      </c>
      <c r="AG32" s="191">
        <v>0</v>
      </c>
      <c r="AH32" s="191">
        <v>0</v>
      </c>
      <c r="AI32" s="191">
        <v>0</v>
      </c>
      <c r="AJ32" s="191">
        <v>0</v>
      </c>
      <c r="AK32" s="191">
        <v>0</v>
      </c>
      <c r="AL32" s="191">
        <v>0</v>
      </c>
      <c r="AM32" s="191">
        <v>0</v>
      </c>
      <c r="AN32" s="191">
        <v>0</v>
      </c>
      <c r="AO32" s="191">
        <v>0</v>
      </c>
      <c r="AP32" s="191">
        <v>0</v>
      </c>
      <c r="AQ32" s="191">
        <v>0</v>
      </c>
      <c r="AR32" s="191">
        <v>0</v>
      </c>
      <c r="AS32" s="191">
        <v>0</v>
      </c>
      <c r="AT32" s="191">
        <v>0</v>
      </c>
      <c r="AU32" s="191">
        <v>0</v>
      </c>
      <c r="AV32" s="191">
        <v>0</v>
      </c>
    </row>
    <row r="33" spans="2:48" ht="15" customHeight="1">
      <c r="B33" s="261"/>
      <c r="C33" s="261"/>
      <c r="D33" s="168" t="s">
        <v>378</v>
      </c>
      <c r="E33" s="199" t="e" cm="1">
        <f t="array" aca="1" ref="E33" ca="1">AVERAGE(_xlfn._xlws.FILTER(G33:AV33, $G$3:$AV$3 &lt;= $E$2))</f>
        <v>#NAME?</v>
      </c>
      <c r="F33" s="186"/>
      <c r="G33" s="191">
        <v>0</v>
      </c>
      <c r="H33" s="191">
        <v>0</v>
      </c>
      <c r="I33" s="191">
        <v>0</v>
      </c>
      <c r="J33" s="191">
        <v>0</v>
      </c>
      <c r="K33" s="191">
        <v>0</v>
      </c>
      <c r="L33" s="191">
        <v>0</v>
      </c>
      <c r="M33" s="191">
        <v>0</v>
      </c>
      <c r="N33" s="191">
        <v>0</v>
      </c>
      <c r="O33" s="191">
        <v>0</v>
      </c>
      <c r="P33" s="191">
        <v>0</v>
      </c>
      <c r="Q33" s="191">
        <v>0</v>
      </c>
      <c r="R33" s="191">
        <v>0</v>
      </c>
      <c r="S33" s="191">
        <v>0</v>
      </c>
      <c r="T33" s="191">
        <v>0</v>
      </c>
      <c r="U33" s="191">
        <v>0</v>
      </c>
      <c r="V33" s="191">
        <v>0</v>
      </c>
      <c r="W33" s="191">
        <v>0</v>
      </c>
      <c r="X33" s="191">
        <v>0</v>
      </c>
      <c r="Y33" s="191">
        <v>0</v>
      </c>
      <c r="Z33" s="191">
        <v>0</v>
      </c>
      <c r="AA33" s="191">
        <v>0</v>
      </c>
      <c r="AB33" s="191">
        <v>0</v>
      </c>
      <c r="AC33" s="191">
        <v>0</v>
      </c>
      <c r="AD33" s="191">
        <v>0</v>
      </c>
      <c r="AE33" s="191">
        <v>0</v>
      </c>
      <c r="AF33" s="191">
        <v>0</v>
      </c>
      <c r="AG33" s="191">
        <v>0</v>
      </c>
      <c r="AH33" s="191">
        <v>0</v>
      </c>
      <c r="AI33" s="191">
        <v>0</v>
      </c>
      <c r="AJ33" s="191">
        <v>0</v>
      </c>
      <c r="AK33" s="191">
        <v>0</v>
      </c>
      <c r="AL33" s="191">
        <v>0</v>
      </c>
      <c r="AM33" s="191">
        <v>0</v>
      </c>
      <c r="AN33" s="191">
        <v>0</v>
      </c>
      <c r="AO33" s="191">
        <v>0</v>
      </c>
      <c r="AP33" s="191">
        <v>0</v>
      </c>
      <c r="AQ33" s="191">
        <v>0</v>
      </c>
      <c r="AR33" s="191">
        <v>0</v>
      </c>
      <c r="AS33" s="191">
        <v>0</v>
      </c>
      <c r="AT33" s="191">
        <v>0</v>
      </c>
      <c r="AU33" s="191">
        <v>0</v>
      </c>
      <c r="AV33" s="191">
        <v>0</v>
      </c>
    </row>
    <row r="34" spans="2:48" ht="15" customHeight="1">
      <c r="B34" s="261"/>
      <c r="C34" s="261"/>
      <c r="D34" s="168"/>
      <c r="E34" s="199" t="e" cm="1">
        <f t="array" aca="1" ref="E34" ca="1">AVERAGE(_xlfn._xlws.FILTER(G34:AV34, $G$3:$AV$3 &lt;= $E$2))</f>
        <v>#NAME?</v>
      </c>
      <c r="F34" s="186"/>
      <c r="G34" s="191">
        <v>0</v>
      </c>
      <c r="H34" s="191">
        <v>0</v>
      </c>
      <c r="I34" s="191">
        <v>0</v>
      </c>
      <c r="J34" s="191">
        <v>0</v>
      </c>
      <c r="K34" s="191">
        <v>0</v>
      </c>
      <c r="L34" s="191">
        <v>0</v>
      </c>
      <c r="M34" s="191">
        <v>0</v>
      </c>
      <c r="N34" s="191">
        <v>0</v>
      </c>
      <c r="O34" s="191">
        <v>0</v>
      </c>
      <c r="P34" s="191">
        <v>0</v>
      </c>
      <c r="Q34" s="191">
        <v>0</v>
      </c>
      <c r="R34" s="191">
        <v>0</v>
      </c>
      <c r="S34" s="191">
        <v>0</v>
      </c>
      <c r="T34" s="191">
        <v>0</v>
      </c>
      <c r="U34" s="191">
        <v>0</v>
      </c>
      <c r="V34" s="191">
        <v>0</v>
      </c>
      <c r="W34" s="191">
        <v>0</v>
      </c>
      <c r="X34" s="191">
        <v>0</v>
      </c>
      <c r="Y34" s="191">
        <v>0</v>
      </c>
      <c r="Z34" s="191">
        <v>0</v>
      </c>
      <c r="AA34" s="191">
        <v>0</v>
      </c>
      <c r="AB34" s="191">
        <v>0</v>
      </c>
      <c r="AC34" s="191">
        <v>0</v>
      </c>
      <c r="AD34" s="191">
        <v>0</v>
      </c>
      <c r="AE34" s="191">
        <v>0</v>
      </c>
      <c r="AF34" s="191">
        <v>0</v>
      </c>
      <c r="AG34" s="191">
        <v>0</v>
      </c>
      <c r="AH34" s="191">
        <v>0</v>
      </c>
      <c r="AI34" s="191">
        <v>0</v>
      </c>
      <c r="AJ34" s="191">
        <v>0</v>
      </c>
      <c r="AK34" s="191">
        <v>0</v>
      </c>
      <c r="AL34" s="191">
        <v>0</v>
      </c>
      <c r="AM34" s="191">
        <v>0</v>
      </c>
      <c r="AN34" s="191">
        <v>0</v>
      </c>
      <c r="AO34" s="191">
        <v>0</v>
      </c>
      <c r="AP34" s="191">
        <v>0</v>
      </c>
      <c r="AQ34" s="191">
        <v>0</v>
      </c>
      <c r="AR34" s="191">
        <v>0</v>
      </c>
      <c r="AS34" s="191">
        <v>0</v>
      </c>
      <c r="AT34" s="191">
        <v>0</v>
      </c>
      <c r="AU34" s="191">
        <v>0</v>
      </c>
      <c r="AV34" s="191">
        <v>0</v>
      </c>
    </row>
    <row r="35" spans="2:48" ht="15" customHeight="1">
      <c r="B35" s="261"/>
      <c r="C35" s="261"/>
      <c r="D35" s="168"/>
      <c r="E35" s="199" t="e" cm="1">
        <f t="array" aca="1" ref="E35" ca="1">AVERAGE(_xlfn._xlws.FILTER(G35:AV35, $G$3:$AV$3 &lt;= $E$2))</f>
        <v>#NAME?</v>
      </c>
      <c r="F35" s="186"/>
      <c r="G35" s="218">
        <v>0</v>
      </c>
      <c r="H35" s="218">
        <v>0</v>
      </c>
      <c r="I35" s="218">
        <v>0</v>
      </c>
      <c r="J35" s="218">
        <v>0</v>
      </c>
      <c r="K35" s="218">
        <v>0</v>
      </c>
      <c r="L35" s="218">
        <v>0</v>
      </c>
      <c r="M35" s="218">
        <v>0</v>
      </c>
      <c r="N35" s="218">
        <v>0</v>
      </c>
      <c r="O35" s="218">
        <v>0</v>
      </c>
      <c r="P35" s="218">
        <v>0</v>
      </c>
      <c r="Q35" s="218">
        <v>0</v>
      </c>
      <c r="R35" s="218">
        <v>0</v>
      </c>
      <c r="S35" s="218">
        <v>0</v>
      </c>
      <c r="T35" s="191">
        <v>0</v>
      </c>
      <c r="U35" s="191">
        <v>0</v>
      </c>
      <c r="V35" s="191">
        <v>0</v>
      </c>
      <c r="W35" s="191">
        <v>0</v>
      </c>
      <c r="X35" s="191">
        <v>0</v>
      </c>
      <c r="Y35" s="191">
        <v>0</v>
      </c>
      <c r="Z35" s="191">
        <v>0</v>
      </c>
      <c r="AA35" s="191">
        <v>0</v>
      </c>
      <c r="AB35" s="191">
        <v>0</v>
      </c>
      <c r="AC35" s="191">
        <v>0</v>
      </c>
      <c r="AD35" s="191">
        <v>0</v>
      </c>
      <c r="AE35" s="191">
        <v>0</v>
      </c>
      <c r="AF35" s="191">
        <v>0</v>
      </c>
      <c r="AG35" s="191">
        <v>0</v>
      </c>
      <c r="AH35" s="191">
        <v>0</v>
      </c>
      <c r="AI35" s="191">
        <v>0</v>
      </c>
      <c r="AJ35" s="191">
        <v>0</v>
      </c>
      <c r="AK35" s="191">
        <v>0</v>
      </c>
      <c r="AL35" s="191">
        <v>0</v>
      </c>
      <c r="AM35" s="191">
        <v>0</v>
      </c>
      <c r="AN35" s="191">
        <v>0</v>
      </c>
      <c r="AO35" s="191">
        <v>0</v>
      </c>
      <c r="AP35" s="191">
        <v>0</v>
      </c>
      <c r="AQ35" s="191">
        <v>0</v>
      </c>
      <c r="AR35" s="191">
        <v>0</v>
      </c>
      <c r="AS35" s="191">
        <v>0</v>
      </c>
      <c r="AT35" s="191">
        <v>0</v>
      </c>
      <c r="AU35" s="191">
        <v>0</v>
      </c>
      <c r="AV35" s="191">
        <v>0</v>
      </c>
    </row>
    <row r="36" spans="2:48" ht="15" customHeight="1">
      <c r="B36" s="261"/>
      <c r="C36" s="261"/>
      <c r="D36" s="168"/>
      <c r="E36" s="199" t="e" cm="1">
        <f t="array" aca="1" ref="E36" ca="1">AVERAGE(_xlfn._xlws.FILTER(G36:AV36, $G$3:$AV$3 &lt;= $E$2))</f>
        <v>#NAME?</v>
      </c>
      <c r="F36" s="186"/>
      <c r="G36" s="191">
        <v>0</v>
      </c>
      <c r="H36" s="191">
        <v>0</v>
      </c>
      <c r="I36" s="191">
        <v>25000</v>
      </c>
      <c r="J36" s="191">
        <v>0</v>
      </c>
      <c r="K36" s="191">
        <v>0</v>
      </c>
      <c r="L36" s="191">
        <v>0</v>
      </c>
      <c r="M36" s="191">
        <v>0</v>
      </c>
      <c r="N36" s="191">
        <v>0</v>
      </c>
      <c r="O36" s="191">
        <v>0</v>
      </c>
      <c r="P36" s="191">
        <v>0</v>
      </c>
      <c r="Q36" s="191">
        <v>0</v>
      </c>
      <c r="R36" s="191">
        <v>0</v>
      </c>
      <c r="S36" s="191">
        <v>0</v>
      </c>
      <c r="T36" s="191">
        <v>0</v>
      </c>
      <c r="U36" s="191">
        <v>0</v>
      </c>
      <c r="V36" s="191">
        <v>0</v>
      </c>
      <c r="W36" s="191">
        <v>0</v>
      </c>
      <c r="X36" s="191">
        <v>0</v>
      </c>
      <c r="Y36" s="191">
        <v>0</v>
      </c>
      <c r="Z36" s="191">
        <v>0</v>
      </c>
      <c r="AA36" s="191">
        <v>0</v>
      </c>
      <c r="AB36" s="191">
        <v>0</v>
      </c>
      <c r="AC36" s="191">
        <v>0</v>
      </c>
      <c r="AD36" s="191">
        <v>0</v>
      </c>
      <c r="AE36" s="191">
        <v>0</v>
      </c>
      <c r="AF36" s="191">
        <v>0</v>
      </c>
      <c r="AG36" s="191">
        <v>0</v>
      </c>
      <c r="AH36" s="191">
        <v>0</v>
      </c>
      <c r="AI36" s="191">
        <v>0</v>
      </c>
      <c r="AJ36" s="191">
        <v>0</v>
      </c>
      <c r="AK36" s="191">
        <v>0</v>
      </c>
      <c r="AL36" s="191">
        <v>0</v>
      </c>
      <c r="AM36" s="191">
        <v>0</v>
      </c>
      <c r="AN36" s="191">
        <v>0</v>
      </c>
      <c r="AO36" s="191">
        <v>0</v>
      </c>
      <c r="AQ36" s="191">
        <v>0</v>
      </c>
      <c r="AR36" s="191">
        <v>0</v>
      </c>
      <c r="AT36" s="191">
        <v>0</v>
      </c>
      <c r="AU36" s="191">
        <v>0</v>
      </c>
      <c r="AV36" s="191">
        <v>0</v>
      </c>
    </row>
    <row r="37" spans="2:48" ht="15.6" customHeight="1">
      <c r="B37" s="174"/>
      <c r="C37" s="173"/>
      <c r="D37" s="172" t="s">
        <v>371</v>
      </c>
      <c r="E37" s="201" t="e" cm="1">
        <f t="array" aca="1" ref="E37" ca="1">AVERAGE(_xlfn._xlws.FILTER(G37:AV37, $G$3:$AV$3 &lt;= $E$2))</f>
        <v>#NAME?</v>
      </c>
      <c r="F37" s="187"/>
      <c r="G37" s="196">
        <f t="shared" ref="G37:AV37" si="11">SUM(G38+G41+G45+G53+G60+G70+G81+G87+G93+G96+G99)</f>
        <v>86669</v>
      </c>
      <c r="H37" s="196">
        <f t="shared" si="11"/>
        <v>86669</v>
      </c>
      <c r="I37" s="196">
        <f t="shared" si="11"/>
        <v>93069</v>
      </c>
      <c r="J37" s="196">
        <f t="shared" si="11"/>
        <v>93069</v>
      </c>
      <c r="K37" s="196">
        <f t="shared" si="11"/>
        <v>93069</v>
      </c>
      <c r="L37" s="196">
        <f t="shared" si="11"/>
        <v>102069</v>
      </c>
      <c r="M37" s="196">
        <f t="shared" si="11"/>
        <v>88114</v>
      </c>
      <c r="N37" s="196">
        <f t="shared" si="11"/>
        <v>88114</v>
      </c>
      <c r="O37" s="196">
        <f t="shared" si="11"/>
        <v>88114</v>
      </c>
      <c r="P37" s="196">
        <f t="shared" si="11"/>
        <v>80314</v>
      </c>
      <c r="Q37" s="196">
        <f t="shared" si="11"/>
        <v>80314</v>
      </c>
      <c r="R37" s="196">
        <f t="shared" si="11"/>
        <v>130314</v>
      </c>
      <c r="S37" s="196">
        <f t="shared" si="11"/>
        <v>80314</v>
      </c>
      <c r="T37" s="196">
        <f t="shared" si="11"/>
        <v>80314</v>
      </c>
      <c r="U37" s="196">
        <f t="shared" si="11"/>
        <v>80314</v>
      </c>
      <c r="V37" s="196">
        <f t="shared" si="11"/>
        <v>80314</v>
      </c>
      <c r="W37" s="196">
        <f t="shared" si="11"/>
        <v>80314</v>
      </c>
      <c r="X37" s="196">
        <f t="shared" si="11"/>
        <v>80314</v>
      </c>
      <c r="Y37" s="196">
        <f t="shared" si="11"/>
        <v>80314</v>
      </c>
      <c r="Z37" s="196">
        <f t="shared" si="11"/>
        <v>80314</v>
      </c>
      <c r="AA37" s="196">
        <f t="shared" si="11"/>
        <v>80314</v>
      </c>
      <c r="AB37" s="196">
        <f t="shared" si="11"/>
        <v>80314</v>
      </c>
      <c r="AC37" s="196">
        <f t="shared" si="11"/>
        <v>80314</v>
      </c>
      <c r="AD37" s="196">
        <f t="shared" si="11"/>
        <v>80314</v>
      </c>
      <c r="AE37" s="196">
        <f t="shared" si="11"/>
        <v>80314</v>
      </c>
      <c r="AF37" s="196">
        <f t="shared" si="11"/>
        <v>80314</v>
      </c>
      <c r="AG37" s="196">
        <f t="shared" si="11"/>
        <v>80314</v>
      </c>
      <c r="AH37" s="196">
        <f t="shared" si="11"/>
        <v>80314</v>
      </c>
      <c r="AI37" s="196">
        <f t="shared" si="11"/>
        <v>80314</v>
      </c>
      <c r="AJ37" s="196">
        <f t="shared" si="11"/>
        <v>73054</v>
      </c>
      <c r="AK37" s="196">
        <f t="shared" si="11"/>
        <v>73054</v>
      </c>
      <c r="AL37" s="196">
        <f t="shared" si="11"/>
        <v>73055</v>
      </c>
      <c r="AM37" s="196">
        <f t="shared" si="11"/>
        <v>73056</v>
      </c>
      <c r="AN37" s="196">
        <f t="shared" si="11"/>
        <v>73057</v>
      </c>
      <c r="AO37" s="196">
        <f t="shared" si="11"/>
        <v>73061</v>
      </c>
      <c r="AP37" s="196">
        <f t="shared" si="11"/>
        <v>73065</v>
      </c>
      <c r="AQ37" s="196">
        <f t="shared" si="11"/>
        <v>73069</v>
      </c>
      <c r="AR37" s="196">
        <f t="shared" si="11"/>
        <v>73073</v>
      </c>
      <c r="AS37" s="196">
        <f t="shared" si="11"/>
        <v>73077</v>
      </c>
      <c r="AT37" s="196">
        <f t="shared" si="11"/>
        <v>73081</v>
      </c>
      <c r="AU37" s="196">
        <f t="shared" si="11"/>
        <v>73085</v>
      </c>
      <c r="AV37" s="196">
        <f t="shared" si="11"/>
        <v>73089</v>
      </c>
    </row>
    <row r="38" spans="2:48" ht="15.75" customHeight="1">
      <c r="B38" s="264" t="s">
        <v>395</v>
      </c>
      <c r="C38" s="265" t="s">
        <v>396</v>
      </c>
      <c r="D38" s="219" t="s">
        <v>263</v>
      </c>
      <c r="E38" s="220" t="e" cm="1">
        <f t="array" aca="1" ref="E38" ca="1">AVERAGE(_xlfn._xlws.FILTER(G38:AV38, $G$3:$AV$3 &lt;= $E$2))</f>
        <v>#NAME?</v>
      </c>
      <c r="F38" s="221"/>
      <c r="G38" s="222">
        <f>SUM(G39:G40)</f>
        <v>0</v>
      </c>
      <c r="H38" s="222">
        <f t="shared" ref="H38:AV38" si="12">SUM(H39:H40)</f>
        <v>0</v>
      </c>
      <c r="I38" s="222">
        <f t="shared" si="12"/>
        <v>0</v>
      </c>
      <c r="J38" s="222">
        <f t="shared" si="12"/>
        <v>0</v>
      </c>
      <c r="K38" s="222">
        <f t="shared" si="12"/>
        <v>0</v>
      </c>
      <c r="L38" s="222">
        <f t="shared" si="12"/>
        <v>0</v>
      </c>
      <c r="M38" s="222">
        <f t="shared" si="12"/>
        <v>0</v>
      </c>
      <c r="N38" s="222">
        <f t="shared" si="12"/>
        <v>0</v>
      </c>
      <c r="O38" s="222">
        <f t="shared" si="12"/>
        <v>0</v>
      </c>
      <c r="P38" s="222">
        <f t="shared" si="12"/>
        <v>0</v>
      </c>
      <c r="Q38" s="222">
        <f t="shared" si="12"/>
        <v>0</v>
      </c>
      <c r="R38" s="222">
        <f t="shared" si="12"/>
        <v>0</v>
      </c>
      <c r="S38" s="222">
        <f t="shared" si="12"/>
        <v>0</v>
      </c>
      <c r="T38" s="222">
        <f t="shared" si="12"/>
        <v>0</v>
      </c>
      <c r="U38" s="222">
        <f t="shared" si="12"/>
        <v>0</v>
      </c>
      <c r="V38" s="222">
        <f t="shared" si="12"/>
        <v>0</v>
      </c>
      <c r="W38" s="222">
        <f t="shared" si="12"/>
        <v>0</v>
      </c>
      <c r="X38" s="222">
        <f t="shared" si="12"/>
        <v>0</v>
      </c>
      <c r="Y38" s="222">
        <f t="shared" si="12"/>
        <v>0</v>
      </c>
      <c r="Z38" s="222">
        <f t="shared" si="12"/>
        <v>0</v>
      </c>
      <c r="AA38" s="222">
        <f t="shared" si="12"/>
        <v>0</v>
      </c>
      <c r="AB38" s="222">
        <f t="shared" si="12"/>
        <v>0</v>
      </c>
      <c r="AC38" s="222">
        <f t="shared" si="12"/>
        <v>0</v>
      </c>
      <c r="AD38" s="222">
        <f t="shared" si="12"/>
        <v>0</v>
      </c>
      <c r="AE38" s="222">
        <f t="shared" si="12"/>
        <v>0</v>
      </c>
      <c r="AF38" s="222">
        <f t="shared" si="12"/>
        <v>0</v>
      </c>
      <c r="AG38" s="222">
        <f t="shared" si="12"/>
        <v>0</v>
      </c>
      <c r="AH38" s="222">
        <f t="shared" si="12"/>
        <v>0</v>
      </c>
      <c r="AI38" s="222">
        <f t="shared" si="12"/>
        <v>0</v>
      </c>
      <c r="AJ38" s="222">
        <f t="shared" si="12"/>
        <v>0</v>
      </c>
      <c r="AK38" s="222">
        <f t="shared" si="12"/>
        <v>0</v>
      </c>
      <c r="AL38" s="222">
        <f t="shared" si="12"/>
        <v>0</v>
      </c>
      <c r="AM38" s="222">
        <f t="shared" si="12"/>
        <v>0</v>
      </c>
      <c r="AN38" s="222">
        <f t="shared" si="12"/>
        <v>0</v>
      </c>
      <c r="AO38" s="222">
        <f t="shared" si="12"/>
        <v>0</v>
      </c>
      <c r="AP38" s="222">
        <f t="shared" si="12"/>
        <v>0</v>
      </c>
      <c r="AQ38" s="222">
        <f t="shared" si="12"/>
        <v>0</v>
      </c>
      <c r="AR38" s="222">
        <f t="shared" si="12"/>
        <v>0</v>
      </c>
      <c r="AS38" s="222">
        <f t="shared" si="12"/>
        <v>0</v>
      </c>
      <c r="AT38" s="222">
        <f t="shared" si="12"/>
        <v>0</v>
      </c>
      <c r="AU38" s="222">
        <f t="shared" si="12"/>
        <v>0</v>
      </c>
      <c r="AV38" s="222">
        <f t="shared" si="12"/>
        <v>0</v>
      </c>
    </row>
    <row r="39" spans="2:48" ht="15.6" customHeight="1" outlineLevel="1">
      <c r="B39" s="264"/>
      <c r="C39" s="265"/>
      <c r="D39" s="167" t="s">
        <v>151</v>
      </c>
      <c r="E39" s="199" t="e" cm="1">
        <f t="array" aca="1" ref="E39" ca="1">AVERAGE(_xlfn._xlws.FILTER(G39:AV39, $G$3:$AV$3 &lt;= $E$2))</f>
        <v>#NAME?</v>
      </c>
      <c r="F39" s="188"/>
      <c r="G39" s="191">
        <v>0</v>
      </c>
      <c r="H39" s="191">
        <v>0</v>
      </c>
      <c r="I39" s="191">
        <v>0</v>
      </c>
      <c r="J39" s="191">
        <v>0</v>
      </c>
      <c r="K39" s="191">
        <v>0</v>
      </c>
      <c r="L39" s="191">
        <v>0</v>
      </c>
      <c r="M39" s="191">
        <v>0</v>
      </c>
      <c r="N39" s="191">
        <v>0</v>
      </c>
      <c r="O39" s="191">
        <v>0</v>
      </c>
      <c r="P39" s="191">
        <v>0</v>
      </c>
      <c r="Q39" s="191">
        <v>0</v>
      </c>
      <c r="R39" s="191">
        <v>0</v>
      </c>
      <c r="S39" s="191">
        <v>0</v>
      </c>
      <c r="T39" s="191">
        <v>0</v>
      </c>
      <c r="U39" s="191">
        <v>0</v>
      </c>
      <c r="V39" s="191">
        <v>0</v>
      </c>
      <c r="W39" s="191">
        <v>0</v>
      </c>
      <c r="X39" s="191">
        <v>0</v>
      </c>
      <c r="Y39" s="191">
        <v>0</v>
      </c>
      <c r="Z39" s="191">
        <v>0</v>
      </c>
      <c r="AA39" s="191">
        <v>0</v>
      </c>
      <c r="AB39" s="191">
        <v>0</v>
      </c>
      <c r="AC39" s="191">
        <v>0</v>
      </c>
      <c r="AD39" s="191">
        <v>0</v>
      </c>
      <c r="AE39" s="191">
        <v>0</v>
      </c>
      <c r="AF39" s="191">
        <v>0</v>
      </c>
      <c r="AG39" s="191">
        <v>0</v>
      </c>
      <c r="AH39" s="191">
        <v>0</v>
      </c>
      <c r="AI39" s="191">
        <v>0</v>
      </c>
      <c r="AJ39" s="191">
        <v>0</v>
      </c>
      <c r="AK39" s="191">
        <v>0</v>
      </c>
      <c r="AL39" s="191">
        <v>0</v>
      </c>
      <c r="AM39" s="191">
        <v>0</v>
      </c>
      <c r="AN39" s="191">
        <v>0</v>
      </c>
      <c r="AO39" s="191">
        <v>0</v>
      </c>
      <c r="AP39" s="191">
        <v>0</v>
      </c>
      <c r="AQ39" s="191">
        <v>0</v>
      </c>
      <c r="AR39" s="191">
        <v>0</v>
      </c>
      <c r="AS39" s="191">
        <v>0</v>
      </c>
      <c r="AT39" s="191">
        <v>0</v>
      </c>
      <c r="AU39" s="191">
        <v>0</v>
      </c>
      <c r="AV39" s="191">
        <v>0</v>
      </c>
    </row>
    <row r="40" spans="2:48" ht="15.6" customHeight="1" outlineLevel="1">
      <c r="B40" s="264"/>
      <c r="C40" s="265"/>
      <c r="D40" s="167" t="s">
        <v>152</v>
      </c>
      <c r="E40" s="199" t="e" cm="1">
        <f t="array" aca="1" ref="E40" ca="1">AVERAGE(_xlfn._xlws.FILTER(G40:AV40, $G$3:$AV$3 &lt;= $E$2))</f>
        <v>#NAME?</v>
      </c>
      <c r="F40" s="188"/>
      <c r="G40" s="191">
        <v>0</v>
      </c>
      <c r="H40" s="191">
        <v>0</v>
      </c>
      <c r="I40" s="191">
        <v>0</v>
      </c>
      <c r="J40" s="191">
        <v>0</v>
      </c>
      <c r="K40" s="191">
        <v>0</v>
      </c>
      <c r="L40" s="191">
        <v>0</v>
      </c>
      <c r="M40" s="191">
        <v>0</v>
      </c>
      <c r="N40" s="191">
        <v>0</v>
      </c>
      <c r="O40" s="191">
        <v>0</v>
      </c>
      <c r="P40" s="191">
        <v>0</v>
      </c>
      <c r="Q40" s="191">
        <v>0</v>
      </c>
      <c r="R40" s="191">
        <v>0</v>
      </c>
      <c r="S40" s="191">
        <v>0</v>
      </c>
      <c r="T40" s="191">
        <v>0</v>
      </c>
      <c r="U40" s="191">
        <v>0</v>
      </c>
      <c r="V40" s="191">
        <v>0</v>
      </c>
      <c r="W40" s="191">
        <v>0</v>
      </c>
      <c r="X40" s="191">
        <v>0</v>
      </c>
      <c r="Y40" s="191">
        <v>0</v>
      </c>
      <c r="Z40" s="191">
        <v>0</v>
      </c>
      <c r="AA40" s="191">
        <v>0</v>
      </c>
      <c r="AB40" s="191">
        <v>0</v>
      </c>
      <c r="AC40" s="191">
        <v>0</v>
      </c>
      <c r="AD40" s="191">
        <v>0</v>
      </c>
      <c r="AE40" s="191">
        <v>0</v>
      </c>
      <c r="AF40" s="191">
        <v>0</v>
      </c>
      <c r="AG40" s="191">
        <v>0</v>
      </c>
      <c r="AH40" s="191">
        <v>0</v>
      </c>
      <c r="AI40" s="191">
        <v>0</v>
      </c>
      <c r="AJ40" s="191">
        <v>0</v>
      </c>
      <c r="AK40" s="191">
        <v>0</v>
      </c>
      <c r="AL40" s="191">
        <v>0</v>
      </c>
      <c r="AM40" s="191">
        <v>0</v>
      </c>
      <c r="AN40" s="191">
        <v>0</v>
      </c>
      <c r="AO40" s="191">
        <v>0</v>
      </c>
      <c r="AP40" s="191">
        <v>0</v>
      </c>
      <c r="AQ40" s="191">
        <v>0</v>
      </c>
      <c r="AR40" s="191">
        <v>0</v>
      </c>
      <c r="AS40" s="191">
        <v>0</v>
      </c>
      <c r="AT40" s="191">
        <v>0</v>
      </c>
      <c r="AU40" s="191">
        <v>0</v>
      </c>
      <c r="AV40" s="191">
        <v>0</v>
      </c>
    </row>
    <row r="41" spans="2:48">
      <c r="B41" s="264"/>
      <c r="C41" s="265"/>
      <c r="D41" s="219" t="s">
        <v>397</v>
      </c>
      <c r="E41" s="223" t="e" cm="1">
        <f t="array" aca="1" ref="E41" ca="1">AVERAGE(_xlfn._xlws.FILTER(G41:AV41, $G$3:$AV$3 &lt;= $E$2))</f>
        <v>#NAME?</v>
      </c>
      <c r="F41" s="221"/>
      <c r="G41" s="224">
        <v>0</v>
      </c>
      <c r="H41" s="224">
        <v>0</v>
      </c>
      <c r="I41" s="224">
        <f t="shared" ref="I41:AV41" si="13">SUM(I42:I44)</f>
        <v>0</v>
      </c>
      <c r="J41" s="224">
        <f t="shared" si="13"/>
        <v>0</v>
      </c>
      <c r="K41" s="224">
        <f t="shared" si="13"/>
        <v>0</v>
      </c>
      <c r="L41" s="224">
        <f t="shared" si="13"/>
        <v>0</v>
      </c>
      <c r="M41" s="224">
        <f t="shared" si="13"/>
        <v>0</v>
      </c>
      <c r="N41" s="224">
        <f t="shared" si="13"/>
        <v>0</v>
      </c>
      <c r="O41" s="224">
        <f t="shared" si="13"/>
        <v>0</v>
      </c>
      <c r="P41" s="224">
        <f t="shared" si="13"/>
        <v>0</v>
      </c>
      <c r="Q41" s="224">
        <f t="shared" si="13"/>
        <v>0</v>
      </c>
      <c r="R41" s="224">
        <f t="shared" si="13"/>
        <v>0</v>
      </c>
      <c r="S41" s="224">
        <f t="shared" si="13"/>
        <v>0</v>
      </c>
      <c r="T41" s="224">
        <f t="shared" si="13"/>
        <v>0</v>
      </c>
      <c r="U41" s="224">
        <f t="shared" si="13"/>
        <v>0</v>
      </c>
      <c r="V41" s="224">
        <f t="shared" si="13"/>
        <v>0</v>
      </c>
      <c r="W41" s="224">
        <f t="shared" si="13"/>
        <v>0</v>
      </c>
      <c r="X41" s="224">
        <f t="shared" si="13"/>
        <v>0</v>
      </c>
      <c r="Y41" s="224">
        <f t="shared" si="13"/>
        <v>0</v>
      </c>
      <c r="Z41" s="224">
        <f t="shared" si="13"/>
        <v>0</v>
      </c>
      <c r="AA41" s="224">
        <f t="shared" si="13"/>
        <v>0</v>
      </c>
      <c r="AB41" s="224">
        <f t="shared" si="13"/>
        <v>0</v>
      </c>
      <c r="AC41" s="224">
        <f t="shared" si="13"/>
        <v>0</v>
      </c>
      <c r="AD41" s="224">
        <f t="shared" si="13"/>
        <v>0</v>
      </c>
      <c r="AE41" s="224">
        <f t="shared" si="13"/>
        <v>0</v>
      </c>
      <c r="AF41" s="224">
        <f t="shared" si="13"/>
        <v>0</v>
      </c>
      <c r="AG41" s="224">
        <f t="shared" si="13"/>
        <v>0</v>
      </c>
      <c r="AH41" s="224">
        <f t="shared" si="13"/>
        <v>0</v>
      </c>
      <c r="AI41" s="224">
        <f t="shared" si="13"/>
        <v>0</v>
      </c>
      <c r="AJ41" s="224">
        <f t="shared" si="13"/>
        <v>0</v>
      </c>
      <c r="AK41" s="224">
        <f t="shared" si="13"/>
        <v>0</v>
      </c>
      <c r="AL41" s="224">
        <f t="shared" si="13"/>
        <v>0</v>
      </c>
      <c r="AM41" s="224">
        <f t="shared" si="13"/>
        <v>0</v>
      </c>
      <c r="AN41" s="224">
        <f t="shared" si="13"/>
        <v>0</v>
      </c>
      <c r="AO41" s="224">
        <f t="shared" si="13"/>
        <v>0</v>
      </c>
      <c r="AP41" s="224">
        <f t="shared" si="13"/>
        <v>0</v>
      </c>
      <c r="AQ41" s="224">
        <f t="shared" si="13"/>
        <v>0</v>
      </c>
      <c r="AR41" s="224">
        <f t="shared" si="13"/>
        <v>0</v>
      </c>
      <c r="AS41" s="224">
        <f t="shared" si="13"/>
        <v>0</v>
      </c>
      <c r="AT41" s="224">
        <f t="shared" si="13"/>
        <v>0</v>
      </c>
      <c r="AU41" s="224">
        <f t="shared" si="13"/>
        <v>0</v>
      </c>
      <c r="AV41" s="224">
        <f t="shared" si="13"/>
        <v>0</v>
      </c>
    </row>
    <row r="42" spans="2:48" ht="15.6" customHeight="1" outlineLevel="1">
      <c r="B42" s="264"/>
      <c r="C42" s="265"/>
      <c r="D42" s="167" t="s">
        <v>155</v>
      </c>
      <c r="E42" s="199" t="e" cm="1">
        <f t="array" aca="1" ref="E42" ca="1">AVERAGE(_xlfn._xlws.FILTER(G42:AV42, $G$3:$AV$3 &lt;= $E$2))</f>
        <v>#NAME?</v>
      </c>
      <c r="F42" s="188"/>
      <c r="G42" s="191">
        <v>0</v>
      </c>
      <c r="H42" s="191">
        <v>0</v>
      </c>
      <c r="I42" s="191">
        <v>0</v>
      </c>
      <c r="J42" s="191">
        <v>0</v>
      </c>
      <c r="K42" s="191">
        <v>0</v>
      </c>
      <c r="L42" s="191">
        <v>0</v>
      </c>
      <c r="M42" s="191">
        <v>0</v>
      </c>
      <c r="N42" s="191">
        <v>0</v>
      </c>
      <c r="O42" s="191">
        <v>0</v>
      </c>
      <c r="P42" s="191">
        <v>0</v>
      </c>
      <c r="Q42" s="191">
        <v>0</v>
      </c>
      <c r="R42" s="191">
        <v>0</v>
      </c>
      <c r="S42" s="191">
        <v>0</v>
      </c>
      <c r="T42" s="191">
        <v>0</v>
      </c>
      <c r="U42" s="191">
        <v>0</v>
      </c>
      <c r="V42" s="191">
        <v>0</v>
      </c>
      <c r="W42" s="191">
        <v>0</v>
      </c>
      <c r="X42" s="191">
        <v>0</v>
      </c>
      <c r="Y42" s="191">
        <v>0</v>
      </c>
      <c r="Z42" s="191">
        <v>0</v>
      </c>
      <c r="AA42" s="191">
        <v>0</v>
      </c>
      <c r="AB42" s="191">
        <v>0</v>
      </c>
      <c r="AC42" s="191">
        <v>0</v>
      </c>
      <c r="AD42" s="191">
        <v>0</v>
      </c>
      <c r="AE42" s="191">
        <v>0</v>
      </c>
      <c r="AF42" s="191">
        <v>0</v>
      </c>
      <c r="AG42" s="191">
        <v>0</v>
      </c>
      <c r="AH42" s="191">
        <v>0</v>
      </c>
      <c r="AI42" s="191">
        <v>0</v>
      </c>
      <c r="AJ42" s="191">
        <v>0</v>
      </c>
      <c r="AK42" s="191">
        <v>0</v>
      </c>
      <c r="AL42" s="191">
        <v>0</v>
      </c>
      <c r="AM42" s="191">
        <v>0</v>
      </c>
      <c r="AN42" s="191">
        <v>0</v>
      </c>
      <c r="AO42" s="191">
        <v>0</v>
      </c>
      <c r="AP42" s="191">
        <v>0</v>
      </c>
      <c r="AQ42" s="191">
        <v>0</v>
      </c>
      <c r="AR42" s="191">
        <v>0</v>
      </c>
      <c r="AS42" s="191">
        <v>0</v>
      </c>
      <c r="AT42" s="191">
        <v>0</v>
      </c>
      <c r="AU42" s="191">
        <v>0</v>
      </c>
      <c r="AV42" s="191">
        <v>0</v>
      </c>
    </row>
    <row r="43" spans="2:48" ht="15.6" customHeight="1" outlineLevel="1">
      <c r="B43" s="264"/>
      <c r="C43" s="265"/>
      <c r="D43" s="167" t="s">
        <v>156</v>
      </c>
      <c r="E43" s="199" t="e" cm="1">
        <f t="array" aca="1" ref="E43" ca="1">AVERAGE(_xlfn._xlws.FILTER(G43:AV43, $G$3:$AV$3 &lt;= $E$2))</f>
        <v>#NAME?</v>
      </c>
      <c r="F43" s="188"/>
      <c r="G43" s="191">
        <v>0</v>
      </c>
      <c r="H43" s="191">
        <v>0</v>
      </c>
      <c r="I43" s="191">
        <v>0</v>
      </c>
      <c r="J43" s="191">
        <v>0</v>
      </c>
      <c r="K43" s="191">
        <v>0</v>
      </c>
      <c r="L43" s="191">
        <v>0</v>
      </c>
      <c r="M43" s="191">
        <v>0</v>
      </c>
      <c r="N43" s="191">
        <v>0</v>
      </c>
      <c r="O43" s="191">
        <v>0</v>
      </c>
      <c r="P43" s="191">
        <v>0</v>
      </c>
      <c r="Q43" s="191">
        <v>0</v>
      </c>
      <c r="R43" s="191">
        <v>0</v>
      </c>
      <c r="S43" s="191">
        <v>0</v>
      </c>
      <c r="T43" s="191">
        <v>0</v>
      </c>
      <c r="U43" s="191">
        <v>0</v>
      </c>
      <c r="V43" s="191">
        <v>0</v>
      </c>
      <c r="W43" s="191">
        <v>0</v>
      </c>
      <c r="X43" s="191">
        <v>0</v>
      </c>
      <c r="Y43" s="191">
        <v>0</v>
      </c>
      <c r="Z43" s="191">
        <v>0</v>
      </c>
      <c r="AA43" s="191">
        <v>0</v>
      </c>
      <c r="AB43" s="191">
        <v>0</v>
      </c>
      <c r="AC43" s="191">
        <v>0</v>
      </c>
      <c r="AD43" s="191">
        <v>0</v>
      </c>
      <c r="AE43" s="191">
        <v>0</v>
      </c>
      <c r="AF43" s="191">
        <v>0</v>
      </c>
      <c r="AG43" s="191">
        <v>0</v>
      </c>
      <c r="AH43" s="191">
        <v>0</v>
      </c>
      <c r="AI43" s="191">
        <v>0</v>
      </c>
      <c r="AJ43" s="191">
        <v>0</v>
      </c>
      <c r="AK43" s="191">
        <v>0</v>
      </c>
      <c r="AL43" s="191">
        <v>0</v>
      </c>
      <c r="AM43" s="191">
        <v>0</v>
      </c>
      <c r="AN43" s="191">
        <v>0</v>
      </c>
      <c r="AO43" s="191">
        <v>0</v>
      </c>
      <c r="AP43" s="191">
        <v>0</v>
      </c>
      <c r="AQ43" s="191">
        <v>0</v>
      </c>
      <c r="AR43" s="191">
        <v>0</v>
      </c>
      <c r="AS43" s="191">
        <v>0</v>
      </c>
      <c r="AT43" s="191">
        <v>0</v>
      </c>
      <c r="AU43" s="191">
        <v>0</v>
      </c>
      <c r="AV43" s="191">
        <v>0</v>
      </c>
    </row>
    <row r="44" spans="2:48" ht="15.6" customHeight="1" outlineLevel="1">
      <c r="B44" s="264"/>
      <c r="C44" s="265"/>
      <c r="D44" s="167" t="s">
        <v>398</v>
      </c>
      <c r="E44" s="199" t="e" cm="1">
        <f t="array" aca="1" ref="E44" ca="1">AVERAGE(_xlfn._xlws.FILTER(G44:AV44, $G$3:$AV$3 &lt;= $E$2))</f>
        <v>#NAME?</v>
      </c>
      <c r="F44" s="188"/>
      <c r="G44" s="191">
        <v>0</v>
      </c>
      <c r="H44" s="191">
        <v>0</v>
      </c>
      <c r="I44" s="191">
        <v>0</v>
      </c>
      <c r="J44" s="191">
        <v>0</v>
      </c>
      <c r="K44" s="191">
        <v>0</v>
      </c>
      <c r="L44" s="191">
        <v>0</v>
      </c>
      <c r="M44" s="191">
        <v>0</v>
      </c>
      <c r="N44" s="191">
        <v>0</v>
      </c>
      <c r="O44" s="191">
        <v>0</v>
      </c>
      <c r="P44" s="191">
        <v>0</v>
      </c>
      <c r="Q44" s="191">
        <v>0</v>
      </c>
      <c r="R44" s="191">
        <v>0</v>
      </c>
      <c r="S44" s="191">
        <v>0</v>
      </c>
      <c r="T44" s="191">
        <v>0</v>
      </c>
      <c r="U44" s="191">
        <v>0</v>
      </c>
      <c r="V44" s="191">
        <v>0</v>
      </c>
      <c r="W44" s="191">
        <v>0</v>
      </c>
      <c r="X44" s="191">
        <v>0</v>
      </c>
      <c r="Y44" s="191">
        <v>0</v>
      </c>
      <c r="Z44" s="191">
        <v>0</v>
      </c>
      <c r="AA44" s="191">
        <v>0</v>
      </c>
      <c r="AB44" s="191">
        <v>0</v>
      </c>
      <c r="AC44" s="191">
        <v>0</v>
      </c>
      <c r="AD44" s="191">
        <v>0</v>
      </c>
      <c r="AE44" s="191">
        <v>0</v>
      </c>
      <c r="AF44" s="191">
        <v>0</v>
      </c>
      <c r="AG44" s="191">
        <v>0</v>
      </c>
      <c r="AH44" s="191">
        <v>0</v>
      </c>
      <c r="AI44" s="191">
        <v>0</v>
      </c>
      <c r="AJ44" s="191">
        <v>0</v>
      </c>
      <c r="AK44" s="191">
        <v>0</v>
      </c>
      <c r="AL44" s="191">
        <v>0</v>
      </c>
      <c r="AM44" s="191">
        <v>0</v>
      </c>
      <c r="AN44" s="191">
        <v>0</v>
      </c>
      <c r="AO44" s="191">
        <v>0</v>
      </c>
      <c r="AP44" s="191">
        <v>0</v>
      </c>
      <c r="AQ44" s="191">
        <v>0</v>
      </c>
      <c r="AR44" s="191">
        <v>0</v>
      </c>
      <c r="AS44" s="191">
        <v>0</v>
      </c>
      <c r="AT44" s="191">
        <v>0</v>
      </c>
      <c r="AU44" s="191">
        <v>0</v>
      </c>
      <c r="AV44" s="191">
        <v>0</v>
      </c>
    </row>
    <row r="45" spans="2:48" ht="16.5" customHeight="1">
      <c r="B45" s="264"/>
      <c r="C45" s="265"/>
      <c r="D45" s="219" t="s">
        <v>269</v>
      </c>
      <c r="E45" s="223" t="e" cm="1">
        <f t="array" aca="1" ref="E45" ca="1">AVERAGE(_xlfn._xlws.FILTER(G45:AV45, $G$3:$AV$3 &lt;= $E$2))</f>
        <v>#NAME?</v>
      </c>
      <c r="F45" s="221"/>
      <c r="G45" s="224">
        <v>0</v>
      </c>
      <c r="H45" s="224">
        <v>0</v>
      </c>
      <c r="I45" s="224">
        <f t="shared" ref="I45:AV45" si="14">SUM(I46:I52)</f>
        <v>1400</v>
      </c>
      <c r="J45" s="224">
        <f t="shared" si="14"/>
        <v>1400</v>
      </c>
      <c r="K45" s="224">
        <f t="shared" si="14"/>
        <v>1400</v>
      </c>
      <c r="L45" s="224">
        <f t="shared" si="14"/>
        <v>10400</v>
      </c>
      <c r="M45" s="224">
        <f t="shared" si="14"/>
        <v>10400</v>
      </c>
      <c r="N45" s="224">
        <f t="shared" si="14"/>
        <v>10400</v>
      </c>
      <c r="O45" s="224">
        <f t="shared" si="14"/>
        <v>10400</v>
      </c>
      <c r="P45" s="224">
        <f t="shared" si="14"/>
        <v>10400</v>
      </c>
      <c r="Q45" s="224">
        <f t="shared" si="14"/>
        <v>10400</v>
      </c>
      <c r="R45" s="224">
        <f t="shared" si="14"/>
        <v>10400</v>
      </c>
      <c r="S45" s="224">
        <f t="shared" si="14"/>
        <v>10400</v>
      </c>
      <c r="T45" s="224">
        <f t="shared" si="14"/>
        <v>10400</v>
      </c>
      <c r="U45" s="224">
        <f t="shared" si="14"/>
        <v>10400</v>
      </c>
      <c r="V45" s="224">
        <f t="shared" si="14"/>
        <v>10400</v>
      </c>
      <c r="W45" s="224">
        <f t="shared" si="14"/>
        <v>10400</v>
      </c>
      <c r="X45" s="224">
        <f t="shared" si="14"/>
        <v>10400</v>
      </c>
      <c r="Y45" s="224">
        <f t="shared" si="14"/>
        <v>10400</v>
      </c>
      <c r="Z45" s="224">
        <f t="shared" si="14"/>
        <v>10400</v>
      </c>
      <c r="AA45" s="224">
        <f t="shared" si="14"/>
        <v>10400</v>
      </c>
      <c r="AB45" s="224">
        <f t="shared" si="14"/>
        <v>10400</v>
      </c>
      <c r="AC45" s="224">
        <f t="shared" si="14"/>
        <v>10400</v>
      </c>
      <c r="AD45" s="224">
        <f t="shared" si="14"/>
        <v>10400</v>
      </c>
      <c r="AE45" s="224">
        <f t="shared" si="14"/>
        <v>10400</v>
      </c>
      <c r="AF45" s="224">
        <f t="shared" si="14"/>
        <v>10400</v>
      </c>
      <c r="AG45" s="224">
        <f t="shared" si="14"/>
        <v>10400</v>
      </c>
      <c r="AH45" s="224">
        <f t="shared" si="14"/>
        <v>10400</v>
      </c>
      <c r="AI45" s="224">
        <f t="shared" si="14"/>
        <v>10400</v>
      </c>
      <c r="AJ45" s="224">
        <f t="shared" si="14"/>
        <v>10400</v>
      </c>
      <c r="AK45" s="224">
        <f t="shared" si="14"/>
        <v>10400</v>
      </c>
      <c r="AL45" s="224">
        <f t="shared" si="14"/>
        <v>10400</v>
      </c>
      <c r="AM45" s="224">
        <f t="shared" si="14"/>
        <v>10400</v>
      </c>
      <c r="AN45" s="224">
        <f t="shared" si="14"/>
        <v>10400</v>
      </c>
      <c r="AO45" s="224">
        <f t="shared" si="14"/>
        <v>10401</v>
      </c>
      <c r="AP45" s="224">
        <f t="shared" si="14"/>
        <v>10402</v>
      </c>
      <c r="AQ45" s="224">
        <f t="shared" si="14"/>
        <v>10403</v>
      </c>
      <c r="AR45" s="224">
        <f t="shared" si="14"/>
        <v>10404</v>
      </c>
      <c r="AS45" s="224">
        <f t="shared" si="14"/>
        <v>10405</v>
      </c>
      <c r="AT45" s="224">
        <f t="shared" si="14"/>
        <v>10406</v>
      </c>
      <c r="AU45" s="224">
        <f t="shared" si="14"/>
        <v>10407</v>
      </c>
      <c r="AV45" s="224">
        <f t="shared" si="14"/>
        <v>10408</v>
      </c>
    </row>
    <row r="46" spans="2:48" ht="15.6" customHeight="1" outlineLevel="1">
      <c r="B46" s="264"/>
      <c r="C46" s="265"/>
      <c r="D46" s="167" t="s">
        <v>399</v>
      </c>
      <c r="E46" s="199" t="e" cm="1">
        <f t="array" aca="1" ref="E46" ca="1">AVERAGE(_xlfn._xlws.FILTER(G46:AV46, $G$3:$AV$3 &lt;= $E$2))</f>
        <v>#NAME?</v>
      </c>
      <c r="F46" s="188"/>
      <c r="G46" s="191">
        <v>0</v>
      </c>
      <c r="H46" s="191">
        <v>0</v>
      </c>
      <c r="I46" s="191">
        <v>0</v>
      </c>
      <c r="J46" s="191">
        <v>0</v>
      </c>
      <c r="K46" s="191">
        <v>0</v>
      </c>
      <c r="L46" s="191">
        <v>9000</v>
      </c>
      <c r="M46" s="191">
        <v>9000</v>
      </c>
      <c r="N46" s="191">
        <v>9000</v>
      </c>
      <c r="O46" s="191">
        <v>9000</v>
      </c>
      <c r="P46" s="191">
        <v>9000</v>
      </c>
      <c r="Q46" s="191">
        <v>9000</v>
      </c>
      <c r="R46" s="191">
        <v>9000</v>
      </c>
      <c r="S46" s="191">
        <v>9000</v>
      </c>
      <c r="T46" s="191">
        <v>9000</v>
      </c>
      <c r="U46" s="191">
        <v>9000</v>
      </c>
      <c r="V46" s="191">
        <v>9000</v>
      </c>
      <c r="W46" s="191">
        <v>9000</v>
      </c>
      <c r="X46" s="191">
        <v>9000</v>
      </c>
      <c r="Y46" s="191">
        <v>9000</v>
      </c>
      <c r="Z46" s="191">
        <v>9000</v>
      </c>
      <c r="AA46" s="191">
        <v>9000</v>
      </c>
      <c r="AB46" s="191">
        <v>9000</v>
      </c>
      <c r="AC46" s="191">
        <v>9000</v>
      </c>
      <c r="AD46" s="191">
        <v>9000</v>
      </c>
      <c r="AE46" s="191">
        <v>9000</v>
      </c>
      <c r="AF46" s="191">
        <v>9000</v>
      </c>
      <c r="AG46" s="191">
        <v>9000</v>
      </c>
      <c r="AH46" s="191">
        <v>9000</v>
      </c>
      <c r="AI46" s="191">
        <v>9000</v>
      </c>
      <c r="AJ46" s="191">
        <v>9000</v>
      </c>
      <c r="AK46" s="191">
        <v>9000</v>
      </c>
      <c r="AL46" s="191">
        <v>9000</v>
      </c>
      <c r="AM46" s="191">
        <v>9000</v>
      </c>
      <c r="AN46" s="191">
        <v>9000</v>
      </c>
      <c r="AO46" s="191">
        <v>9000</v>
      </c>
      <c r="AP46" s="191">
        <v>9000</v>
      </c>
      <c r="AQ46" s="191">
        <v>9000</v>
      </c>
      <c r="AR46" s="191">
        <v>9000</v>
      </c>
      <c r="AS46" s="191">
        <v>9000</v>
      </c>
      <c r="AT46" s="191">
        <v>9000</v>
      </c>
      <c r="AU46" s="191">
        <v>9000</v>
      </c>
      <c r="AV46" s="191">
        <v>9000</v>
      </c>
    </row>
    <row r="47" spans="2:48" ht="15.6" customHeight="1" outlineLevel="1">
      <c r="B47" s="264"/>
      <c r="C47" s="265"/>
      <c r="D47" s="167" t="s">
        <v>160</v>
      </c>
      <c r="E47" s="199" t="e" cm="1">
        <f t="array" aca="1" ref="E47" ca="1">AVERAGE(_xlfn._xlws.FILTER(G47:AV47, $G$3:$AV$3 &lt;= $E$2))</f>
        <v>#NAME?</v>
      </c>
      <c r="F47" s="188"/>
      <c r="G47" s="191">
        <v>0</v>
      </c>
      <c r="H47" s="191">
        <v>0</v>
      </c>
      <c r="I47" s="191">
        <v>0</v>
      </c>
      <c r="J47" s="191">
        <v>0</v>
      </c>
      <c r="K47" s="191">
        <v>0</v>
      </c>
      <c r="L47" s="191">
        <v>0</v>
      </c>
      <c r="M47" s="191">
        <v>0</v>
      </c>
      <c r="N47" s="191">
        <v>0</v>
      </c>
      <c r="O47" s="191">
        <v>0</v>
      </c>
      <c r="P47" s="191">
        <v>0</v>
      </c>
      <c r="Q47" s="191">
        <v>0</v>
      </c>
      <c r="R47" s="191">
        <v>0</v>
      </c>
      <c r="S47" s="191">
        <v>0</v>
      </c>
      <c r="T47" s="191">
        <v>0</v>
      </c>
      <c r="U47" s="191">
        <v>0</v>
      </c>
      <c r="V47" s="191">
        <v>0</v>
      </c>
      <c r="W47" s="191">
        <v>0</v>
      </c>
      <c r="X47" s="191">
        <v>0</v>
      </c>
      <c r="Y47" s="191">
        <v>0</v>
      </c>
      <c r="Z47" s="191">
        <v>0</v>
      </c>
      <c r="AA47" s="191">
        <v>0</v>
      </c>
      <c r="AB47" s="191">
        <v>0</v>
      </c>
      <c r="AC47" s="191">
        <v>0</v>
      </c>
      <c r="AD47" s="191">
        <v>0</v>
      </c>
      <c r="AE47" s="191">
        <v>0</v>
      </c>
      <c r="AF47" s="191">
        <v>0</v>
      </c>
      <c r="AG47" s="191">
        <v>0</v>
      </c>
      <c r="AH47" s="191">
        <v>0</v>
      </c>
      <c r="AI47" s="191">
        <v>0</v>
      </c>
      <c r="AJ47" s="191">
        <v>0</v>
      </c>
      <c r="AK47" s="191">
        <v>0</v>
      </c>
      <c r="AL47" s="191">
        <v>0</v>
      </c>
      <c r="AM47" s="191">
        <v>0</v>
      </c>
      <c r="AN47" s="191">
        <v>0</v>
      </c>
      <c r="AO47" s="191">
        <v>0</v>
      </c>
      <c r="AP47" s="191">
        <v>0</v>
      </c>
      <c r="AQ47" s="191">
        <v>0</v>
      </c>
      <c r="AR47" s="191">
        <v>0</v>
      </c>
      <c r="AS47" s="191">
        <v>0</v>
      </c>
      <c r="AT47" s="191">
        <v>0</v>
      </c>
      <c r="AU47" s="191">
        <v>0</v>
      </c>
      <c r="AV47" s="191">
        <v>0</v>
      </c>
    </row>
    <row r="48" spans="2:48" ht="15.6" customHeight="1" outlineLevel="1">
      <c r="B48" s="264"/>
      <c r="C48" s="265"/>
      <c r="D48" s="167" t="s">
        <v>400</v>
      </c>
      <c r="E48" s="199" t="e" cm="1">
        <f t="array" aca="1" ref="E48" ca="1">AVERAGE(_xlfn._xlws.FILTER(G48:AV48, $G$3:$AV$3 &lt;= $E$2))</f>
        <v>#NAME?</v>
      </c>
      <c r="F48" s="188"/>
      <c r="G48" s="191">
        <v>0</v>
      </c>
      <c r="H48" s="191">
        <v>0</v>
      </c>
      <c r="I48" s="191">
        <v>0</v>
      </c>
      <c r="J48" s="191">
        <v>0</v>
      </c>
      <c r="K48" s="191">
        <v>0</v>
      </c>
      <c r="L48" s="191">
        <v>0</v>
      </c>
      <c r="M48" s="191">
        <v>0</v>
      </c>
      <c r="N48" s="191">
        <v>0</v>
      </c>
      <c r="O48" s="191">
        <v>0</v>
      </c>
      <c r="P48" s="191">
        <v>0</v>
      </c>
      <c r="Q48" s="191">
        <v>0</v>
      </c>
      <c r="R48" s="191">
        <v>0</v>
      </c>
      <c r="S48" s="191">
        <v>0</v>
      </c>
      <c r="T48" s="191">
        <v>0</v>
      </c>
      <c r="U48" s="191">
        <v>0</v>
      </c>
      <c r="V48" s="191">
        <v>0</v>
      </c>
      <c r="W48" s="191">
        <v>0</v>
      </c>
      <c r="X48" s="191">
        <v>0</v>
      </c>
      <c r="Y48" s="191">
        <v>0</v>
      </c>
      <c r="Z48" s="191">
        <v>0</v>
      </c>
      <c r="AA48" s="191">
        <v>0</v>
      </c>
      <c r="AB48" s="191">
        <v>0</v>
      </c>
      <c r="AC48" s="191">
        <v>0</v>
      </c>
      <c r="AD48" s="191">
        <v>0</v>
      </c>
      <c r="AE48" s="191">
        <v>0</v>
      </c>
      <c r="AF48" s="191">
        <v>0</v>
      </c>
      <c r="AG48" s="191">
        <v>0</v>
      </c>
      <c r="AH48" s="191">
        <v>0</v>
      </c>
      <c r="AI48" s="191">
        <v>0</v>
      </c>
      <c r="AJ48" s="191">
        <v>0</v>
      </c>
      <c r="AK48" s="191">
        <v>0</v>
      </c>
      <c r="AL48" s="191">
        <v>0</v>
      </c>
      <c r="AM48" s="191">
        <v>0</v>
      </c>
      <c r="AN48" s="191">
        <v>0</v>
      </c>
      <c r="AO48" s="191">
        <v>0</v>
      </c>
      <c r="AP48" s="191">
        <v>0</v>
      </c>
      <c r="AQ48" s="191">
        <v>0</v>
      </c>
      <c r="AR48" s="191">
        <v>0</v>
      </c>
      <c r="AS48" s="191">
        <v>0</v>
      </c>
      <c r="AT48" s="191">
        <v>0</v>
      </c>
      <c r="AU48" s="191">
        <v>0</v>
      </c>
      <c r="AV48" s="191">
        <v>0</v>
      </c>
    </row>
    <row r="49" spans="2:48" ht="15.6" customHeight="1" outlineLevel="1">
      <c r="B49" s="264"/>
      <c r="C49" s="265"/>
      <c r="D49" s="167" t="s">
        <v>401</v>
      </c>
      <c r="E49" s="199" t="e" cm="1">
        <f t="array" aca="1" ref="E49" ca="1">AVERAGE(_xlfn._xlws.FILTER(G49:AV49, $G$3:$AV$3 &lt;= $E$2))</f>
        <v>#NAME?</v>
      </c>
      <c r="F49" s="188"/>
      <c r="G49" s="191">
        <v>0</v>
      </c>
      <c r="H49" s="191">
        <v>0</v>
      </c>
      <c r="I49" s="191">
        <v>0</v>
      </c>
      <c r="J49" s="191">
        <v>0</v>
      </c>
      <c r="K49" s="191">
        <v>0</v>
      </c>
      <c r="L49" s="191">
        <v>0</v>
      </c>
      <c r="M49" s="191">
        <v>0</v>
      </c>
      <c r="N49" s="191">
        <v>0</v>
      </c>
      <c r="O49" s="191">
        <v>0</v>
      </c>
      <c r="P49" s="191">
        <v>0</v>
      </c>
      <c r="Q49" s="191">
        <v>0</v>
      </c>
      <c r="R49" s="191">
        <v>0</v>
      </c>
      <c r="S49" s="191">
        <v>0</v>
      </c>
      <c r="T49" s="191">
        <v>0</v>
      </c>
      <c r="U49" s="191">
        <v>0</v>
      </c>
      <c r="V49" s="191">
        <v>0</v>
      </c>
      <c r="W49" s="191">
        <v>0</v>
      </c>
      <c r="X49" s="191">
        <v>0</v>
      </c>
      <c r="Y49" s="191">
        <v>0</v>
      </c>
      <c r="Z49" s="191">
        <v>0</v>
      </c>
      <c r="AA49" s="191">
        <v>0</v>
      </c>
      <c r="AB49" s="191">
        <v>0</v>
      </c>
      <c r="AC49" s="191">
        <v>0</v>
      </c>
      <c r="AD49" s="191">
        <v>0</v>
      </c>
      <c r="AE49" s="191">
        <v>0</v>
      </c>
      <c r="AF49" s="191">
        <v>0</v>
      </c>
      <c r="AG49" s="191">
        <v>0</v>
      </c>
      <c r="AH49" s="191">
        <v>0</v>
      </c>
      <c r="AI49" s="191">
        <v>0</v>
      </c>
      <c r="AJ49" s="191">
        <v>0</v>
      </c>
      <c r="AK49" s="191">
        <v>0</v>
      </c>
      <c r="AL49" s="191">
        <v>0</v>
      </c>
      <c r="AM49" s="191">
        <v>0</v>
      </c>
      <c r="AN49" s="191">
        <v>0</v>
      </c>
      <c r="AO49" s="191">
        <v>0</v>
      </c>
      <c r="AP49" s="191">
        <v>0</v>
      </c>
      <c r="AQ49" s="191">
        <v>0</v>
      </c>
      <c r="AR49" s="191">
        <v>0</v>
      </c>
      <c r="AS49" s="191">
        <v>0</v>
      </c>
      <c r="AT49" s="191">
        <v>0</v>
      </c>
      <c r="AU49" s="191">
        <v>0</v>
      </c>
      <c r="AV49" s="191">
        <v>0</v>
      </c>
    </row>
    <row r="50" spans="2:48" ht="15.6" customHeight="1" outlineLevel="1">
      <c r="B50" s="264"/>
      <c r="C50" s="265"/>
      <c r="D50" s="167" t="s">
        <v>402</v>
      </c>
      <c r="E50" s="199" t="e" cm="1">
        <f t="array" aca="1" ref="E50" ca="1">AVERAGE(_xlfn._xlws.FILTER(G50:AV50, $G$3:$AV$3 &lt;= $E$2))</f>
        <v>#NAME?</v>
      </c>
      <c r="F50" s="188"/>
      <c r="G50" s="191">
        <v>0</v>
      </c>
      <c r="H50" s="191">
        <v>0</v>
      </c>
      <c r="I50" s="191">
        <v>1400</v>
      </c>
      <c r="J50" s="191">
        <v>1400</v>
      </c>
      <c r="K50" s="191">
        <v>1400</v>
      </c>
      <c r="L50" s="191">
        <v>1400</v>
      </c>
      <c r="M50" s="191">
        <v>1400</v>
      </c>
      <c r="N50" s="191">
        <v>1400</v>
      </c>
      <c r="O50" s="191">
        <v>1400</v>
      </c>
      <c r="P50" s="191">
        <v>1400</v>
      </c>
      <c r="Q50" s="191">
        <v>1400</v>
      </c>
      <c r="R50" s="191">
        <v>1400</v>
      </c>
      <c r="S50" s="191">
        <v>1400</v>
      </c>
      <c r="T50" s="191">
        <v>1400</v>
      </c>
      <c r="U50" s="191">
        <v>1400</v>
      </c>
      <c r="V50" s="191">
        <v>1400</v>
      </c>
      <c r="W50" s="191">
        <v>1400</v>
      </c>
      <c r="X50" s="191">
        <v>1400</v>
      </c>
      <c r="Y50" s="191">
        <v>1400</v>
      </c>
      <c r="Z50" s="191">
        <v>1400</v>
      </c>
      <c r="AA50" s="191">
        <v>1400</v>
      </c>
      <c r="AB50" s="191">
        <v>1400</v>
      </c>
      <c r="AC50" s="191">
        <v>1400</v>
      </c>
      <c r="AD50" s="191">
        <v>1400</v>
      </c>
      <c r="AE50" s="191">
        <v>1400</v>
      </c>
      <c r="AF50" s="191">
        <v>1400</v>
      </c>
      <c r="AG50" s="191">
        <v>1400</v>
      </c>
      <c r="AH50" s="191">
        <v>1400</v>
      </c>
      <c r="AI50" s="191">
        <v>1400</v>
      </c>
      <c r="AJ50" s="191">
        <v>1400</v>
      </c>
      <c r="AK50" s="191">
        <v>1400</v>
      </c>
      <c r="AL50" s="191">
        <v>1400</v>
      </c>
      <c r="AM50" s="191">
        <v>1400</v>
      </c>
      <c r="AN50" s="191">
        <v>1400</v>
      </c>
      <c r="AO50" s="191">
        <v>1401</v>
      </c>
      <c r="AP50" s="191">
        <v>1402</v>
      </c>
      <c r="AQ50" s="191">
        <v>1403</v>
      </c>
      <c r="AR50" s="191">
        <v>1404</v>
      </c>
      <c r="AS50" s="191">
        <v>1405</v>
      </c>
      <c r="AT50" s="191">
        <v>1406</v>
      </c>
      <c r="AU50" s="191">
        <v>1407</v>
      </c>
      <c r="AV50" s="191">
        <v>1408</v>
      </c>
    </row>
    <row r="51" spans="2:48" ht="15.6" customHeight="1" outlineLevel="1">
      <c r="B51" s="264"/>
      <c r="C51" s="265"/>
      <c r="D51" s="167" t="s">
        <v>403</v>
      </c>
      <c r="E51" s="199" t="e" cm="1">
        <f t="array" aca="1" ref="E51" ca="1">AVERAGE(_xlfn._xlws.FILTER(G51:AV51, $G$3:$AV$3 &lt;= $E$2))</f>
        <v>#NAME?</v>
      </c>
      <c r="F51" s="188"/>
      <c r="G51" s="191">
        <v>0</v>
      </c>
      <c r="H51" s="191">
        <v>0</v>
      </c>
      <c r="I51" s="191">
        <v>0</v>
      </c>
      <c r="J51" s="191">
        <v>0</v>
      </c>
      <c r="K51" s="191">
        <v>0</v>
      </c>
      <c r="L51" s="191">
        <v>0</v>
      </c>
      <c r="M51" s="191">
        <v>0</v>
      </c>
      <c r="N51" s="191">
        <v>0</v>
      </c>
      <c r="O51" s="191">
        <v>0</v>
      </c>
      <c r="P51" s="191">
        <v>0</v>
      </c>
      <c r="Q51" s="191">
        <v>0</v>
      </c>
      <c r="R51" s="191">
        <v>0</v>
      </c>
      <c r="S51" s="191">
        <v>0</v>
      </c>
      <c r="T51" s="191">
        <v>0</v>
      </c>
      <c r="U51" s="191">
        <v>0</v>
      </c>
      <c r="V51" s="191">
        <v>0</v>
      </c>
      <c r="W51" s="191">
        <v>0</v>
      </c>
      <c r="X51" s="191">
        <v>0</v>
      </c>
      <c r="Y51" s="191">
        <v>0</v>
      </c>
      <c r="Z51" s="191">
        <v>0</v>
      </c>
      <c r="AA51" s="191">
        <v>0</v>
      </c>
      <c r="AB51" s="191">
        <v>0</v>
      </c>
      <c r="AC51" s="191">
        <v>0</v>
      </c>
      <c r="AD51" s="191">
        <v>0</v>
      </c>
      <c r="AE51" s="191">
        <v>0</v>
      </c>
      <c r="AF51" s="191">
        <v>0</v>
      </c>
      <c r="AG51" s="191">
        <v>0</v>
      </c>
      <c r="AH51" s="191">
        <v>0</v>
      </c>
      <c r="AI51" s="191">
        <v>0</v>
      </c>
      <c r="AJ51" s="191">
        <v>0</v>
      </c>
      <c r="AK51" s="191">
        <v>0</v>
      </c>
      <c r="AL51" s="191">
        <v>0</v>
      </c>
      <c r="AM51" s="191">
        <v>0</v>
      </c>
      <c r="AN51" s="191">
        <v>0</v>
      </c>
      <c r="AO51" s="191">
        <v>0</v>
      </c>
      <c r="AP51" s="191">
        <v>0</v>
      </c>
      <c r="AQ51" s="191">
        <v>0</v>
      </c>
      <c r="AR51" s="191">
        <v>0</v>
      </c>
      <c r="AS51" s="191">
        <v>0</v>
      </c>
      <c r="AT51" s="191">
        <v>0</v>
      </c>
      <c r="AU51" s="191">
        <v>0</v>
      </c>
      <c r="AV51" s="191">
        <v>0</v>
      </c>
    </row>
    <row r="52" spans="2:48" ht="15.6" customHeight="1" outlineLevel="1">
      <c r="B52" s="264"/>
      <c r="C52" s="265"/>
      <c r="D52" s="167" t="s">
        <v>404</v>
      </c>
      <c r="E52" s="199" t="e" cm="1">
        <f t="array" aca="1" ref="E52" ca="1">AVERAGE(_xlfn._xlws.FILTER(G52:AV52, $G$3:$AV$3 &lt;= $E$2))</f>
        <v>#NAME?</v>
      </c>
      <c r="F52" s="188"/>
      <c r="G52" s="191">
        <v>0</v>
      </c>
      <c r="H52" s="191">
        <v>0</v>
      </c>
      <c r="I52" s="191">
        <v>0</v>
      </c>
      <c r="J52" s="191">
        <v>0</v>
      </c>
      <c r="K52" s="191">
        <v>0</v>
      </c>
      <c r="L52" s="191">
        <v>0</v>
      </c>
      <c r="M52" s="191">
        <v>0</v>
      </c>
      <c r="N52" s="191">
        <v>0</v>
      </c>
      <c r="O52" s="191">
        <v>0</v>
      </c>
      <c r="P52" s="191">
        <v>0</v>
      </c>
      <c r="Q52" s="191">
        <v>0</v>
      </c>
      <c r="R52" s="191">
        <v>0</v>
      </c>
      <c r="S52" s="191">
        <v>0</v>
      </c>
      <c r="T52" s="191">
        <v>0</v>
      </c>
      <c r="U52" s="191">
        <v>0</v>
      </c>
      <c r="V52" s="191">
        <v>0</v>
      </c>
      <c r="W52" s="191">
        <v>0</v>
      </c>
      <c r="X52" s="191">
        <v>0</v>
      </c>
      <c r="Y52" s="191">
        <v>0</v>
      </c>
      <c r="Z52" s="191">
        <v>0</v>
      </c>
      <c r="AA52" s="191">
        <v>0</v>
      </c>
      <c r="AB52" s="191">
        <v>0</v>
      </c>
      <c r="AC52" s="191">
        <v>0</v>
      </c>
      <c r="AD52" s="191">
        <v>0</v>
      </c>
      <c r="AE52" s="191">
        <v>0</v>
      </c>
      <c r="AF52" s="191">
        <v>0</v>
      </c>
      <c r="AG52" s="191">
        <v>0</v>
      </c>
      <c r="AH52" s="191">
        <v>0</v>
      </c>
      <c r="AI52" s="191">
        <v>0</v>
      </c>
      <c r="AJ52" s="191">
        <v>0</v>
      </c>
      <c r="AK52" s="191">
        <v>0</v>
      </c>
      <c r="AL52" s="191">
        <v>0</v>
      </c>
      <c r="AM52" s="191">
        <v>0</v>
      </c>
      <c r="AN52" s="191">
        <v>0</v>
      </c>
      <c r="AO52" s="191">
        <v>0</v>
      </c>
      <c r="AP52" s="191">
        <v>0</v>
      </c>
      <c r="AQ52" s="191">
        <v>0</v>
      </c>
      <c r="AR52" s="191">
        <v>0</v>
      </c>
      <c r="AS52" s="191">
        <v>0</v>
      </c>
      <c r="AT52" s="191">
        <v>0</v>
      </c>
      <c r="AU52" s="191">
        <v>0</v>
      </c>
      <c r="AV52" s="191">
        <v>0</v>
      </c>
    </row>
    <row r="53" spans="2:48">
      <c r="B53" s="264"/>
      <c r="C53" s="265"/>
      <c r="D53" s="219" t="s">
        <v>268</v>
      </c>
      <c r="E53" s="223" t="e" cm="1">
        <f t="array" aca="1" ref="E53" ca="1">AVERAGE(_xlfn._xlws.FILTER(G53:AV53, $G$3:$AV$3 &lt;= $E$2))</f>
        <v>#NAME?</v>
      </c>
      <c r="F53" s="221"/>
      <c r="G53" s="224">
        <v>0</v>
      </c>
      <c r="H53" s="224">
        <v>0</v>
      </c>
      <c r="I53" s="224">
        <f>SUM(I54:I59)</f>
        <v>0</v>
      </c>
      <c r="J53" s="224">
        <v>0</v>
      </c>
      <c r="K53" s="224">
        <v>0</v>
      </c>
      <c r="L53" s="224">
        <v>0</v>
      </c>
      <c r="M53" s="224">
        <v>0</v>
      </c>
      <c r="N53" s="224">
        <v>0</v>
      </c>
      <c r="O53" s="224">
        <v>0</v>
      </c>
      <c r="P53" s="224">
        <v>0</v>
      </c>
      <c r="Q53" s="224">
        <v>0</v>
      </c>
      <c r="R53" s="224">
        <v>0</v>
      </c>
      <c r="S53" s="224">
        <v>0</v>
      </c>
      <c r="T53" s="224">
        <v>0</v>
      </c>
      <c r="U53" s="224">
        <v>0</v>
      </c>
      <c r="V53" s="224">
        <v>0</v>
      </c>
      <c r="W53" s="224">
        <v>0</v>
      </c>
      <c r="X53" s="224">
        <v>0</v>
      </c>
      <c r="Y53" s="224">
        <v>0</v>
      </c>
      <c r="Z53" s="224">
        <v>0</v>
      </c>
      <c r="AA53" s="224">
        <v>0</v>
      </c>
      <c r="AB53" s="224">
        <v>0</v>
      </c>
      <c r="AC53" s="224">
        <v>0</v>
      </c>
      <c r="AD53" s="224">
        <v>0</v>
      </c>
      <c r="AE53" s="224">
        <v>0</v>
      </c>
      <c r="AF53" s="224">
        <v>0</v>
      </c>
      <c r="AG53" s="224">
        <v>0</v>
      </c>
      <c r="AH53" s="224">
        <v>0</v>
      </c>
      <c r="AI53" s="224">
        <v>0</v>
      </c>
      <c r="AJ53" s="224">
        <v>0</v>
      </c>
      <c r="AK53" s="224">
        <v>0</v>
      </c>
      <c r="AL53" s="224">
        <v>0</v>
      </c>
      <c r="AM53" s="224">
        <v>0</v>
      </c>
      <c r="AN53" s="224">
        <v>0</v>
      </c>
      <c r="AO53" s="224">
        <v>0</v>
      </c>
      <c r="AP53" s="224">
        <v>0</v>
      </c>
      <c r="AQ53" s="224">
        <v>0</v>
      </c>
      <c r="AR53" s="224">
        <v>0</v>
      </c>
      <c r="AS53" s="224">
        <v>0</v>
      </c>
      <c r="AT53" s="224">
        <v>0</v>
      </c>
      <c r="AU53" s="224">
        <v>0</v>
      </c>
      <c r="AV53" s="224">
        <v>0</v>
      </c>
    </row>
    <row r="54" spans="2:48" ht="15.6" customHeight="1" outlineLevel="1">
      <c r="B54" s="264"/>
      <c r="C54" s="265"/>
      <c r="D54" s="167" t="s">
        <v>167</v>
      </c>
      <c r="E54" s="199" t="e" cm="1">
        <f t="array" aca="1" ref="E54" ca="1">AVERAGE(_xlfn._xlws.FILTER(G54:AV54, $G$3:$AV$3 &lt;= $E$2))</f>
        <v>#NAME?</v>
      </c>
      <c r="F54" s="188"/>
      <c r="G54" s="191">
        <v>0</v>
      </c>
      <c r="H54" s="191">
        <v>0</v>
      </c>
      <c r="I54" s="191">
        <v>0</v>
      </c>
      <c r="J54" s="191">
        <v>0</v>
      </c>
      <c r="K54" s="191">
        <v>0</v>
      </c>
      <c r="L54" s="191">
        <v>0</v>
      </c>
      <c r="M54" s="191">
        <v>0</v>
      </c>
      <c r="N54" s="191">
        <v>0</v>
      </c>
      <c r="O54" s="191">
        <v>0</v>
      </c>
      <c r="P54" s="191">
        <v>0</v>
      </c>
      <c r="Q54" s="191">
        <v>0</v>
      </c>
      <c r="R54" s="191">
        <v>0</v>
      </c>
      <c r="S54" s="191">
        <v>0</v>
      </c>
      <c r="T54" s="191">
        <v>0</v>
      </c>
      <c r="U54" s="191">
        <v>0</v>
      </c>
      <c r="V54" s="191">
        <v>0</v>
      </c>
      <c r="W54" s="191">
        <v>0</v>
      </c>
      <c r="X54" s="191">
        <v>0</v>
      </c>
      <c r="Y54" s="191">
        <v>0</v>
      </c>
      <c r="Z54" s="191">
        <v>0</v>
      </c>
      <c r="AA54" s="191">
        <v>0</v>
      </c>
      <c r="AB54" s="191">
        <v>0</v>
      </c>
      <c r="AC54" s="191">
        <v>0</v>
      </c>
      <c r="AD54" s="191">
        <v>0</v>
      </c>
      <c r="AE54" s="191">
        <v>0</v>
      </c>
      <c r="AF54" s="191">
        <v>0</v>
      </c>
      <c r="AG54" s="191">
        <v>0</v>
      </c>
      <c r="AH54" s="191">
        <v>0</v>
      </c>
      <c r="AI54" s="191">
        <v>0</v>
      </c>
      <c r="AJ54" s="191">
        <v>0</v>
      </c>
      <c r="AK54" s="191">
        <v>0</v>
      </c>
      <c r="AL54" s="191">
        <v>0</v>
      </c>
      <c r="AM54" s="191">
        <v>0</v>
      </c>
      <c r="AN54" s="191">
        <v>0</v>
      </c>
      <c r="AO54" s="191">
        <v>0</v>
      </c>
      <c r="AP54" s="191">
        <v>0</v>
      </c>
      <c r="AQ54" s="191">
        <v>0</v>
      </c>
      <c r="AR54" s="191">
        <v>0</v>
      </c>
      <c r="AS54" s="191">
        <v>0</v>
      </c>
      <c r="AT54" s="191">
        <v>0</v>
      </c>
      <c r="AU54" s="191">
        <v>0</v>
      </c>
      <c r="AV54" s="191">
        <v>0</v>
      </c>
    </row>
    <row r="55" spans="2:48" ht="15.6" customHeight="1" outlineLevel="1">
      <c r="B55" s="264"/>
      <c r="C55" s="265"/>
      <c r="D55" s="167" t="s">
        <v>168</v>
      </c>
      <c r="E55" s="199" t="e" cm="1">
        <f t="array" aca="1" ref="E55" ca="1">AVERAGE(_xlfn._xlws.FILTER(G55:AV55, $G$3:$AV$3 &lt;= $E$2))</f>
        <v>#NAME?</v>
      </c>
      <c r="F55" s="188"/>
      <c r="G55" s="191">
        <v>0</v>
      </c>
      <c r="H55" s="191">
        <v>0</v>
      </c>
      <c r="I55" s="191">
        <v>0</v>
      </c>
      <c r="J55" s="191">
        <v>0</v>
      </c>
      <c r="K55" s="191">
        <v>0</v>
      </c>
      <c r="L55" s="191">
        <v>0</v>
      </c>
      <c r="M55" s="191">
        <v>0</v>
      </c>
      <c r="N55" s="191">
        <v>0</v>
      </c>
      <c r="O55" s="191">
        <v>0</v>
      </c>
      <c r="P55" s="191">
        <v>0</v>
      </c>
      <c r="Q55" s="191">
        <v>0</v>
      </c>
      <c r="R55" s="191">
        <v>0</v>
      </c>
      <c r="S55" s="191">
        <v>0</v>
      </c>
      <c r="T55" s="191">
        <v>0</v>
      </c>
      <c r="U55" s="191">
        <v>0</v>
      </c>
      <c r="V55" s="191">
        <v>0</v>
      </c>
      <c r="W55" s="191">
        <v>0</v>
      </c>
      <c r="X55" s="191">
        <v>0</v>
      </c>
      <c r="Y55" s="191">
        <v>0</v>
      </c>
      <c r="Z55" s="191">
        <v>0</v>
      </c>
      <c r="AA55" s="191">
        <v>0</v>
      </c>
      <c r="AB55" s="191">
        <v>0</v>
      </c>
      <c r="AC55" s="191">
        <v>0</v>
      </c>
      <c r="AD55" s="191">
        <v>0</v>
      </c>
      <c r="AE55" s="191">
        <v>0</v>
      </c>
      <c r="AF55" s="191">
        <v>0</v>
      </c>
      <c r="AG55" s="191">
        <v>0</v>
      </c>
      <c r="AH55" s="191">
        <v>0</v>
      </c>
      <c r="AI55" s="191">
        <v>0</v>
      </c>
      <c r="AJ55" s="191">
        <v>0</v>
      </c>
      <c r="AK55" s="191">
        <v>0</v>
      </c>
      <c r="AL55" s="191">
        <v>0</v>
      </c>
      <c r="AM55" s="191">
        <v>0</v>
      </c>
      <c r="AN55" s="191">
        <v>0</v>
      </c>
      <c r="AO55" s="191">
        <v>0</v>
      </c>
      <c r="AP55" s="191">
        <v>0</v>
      </c>
      <c r="AQ55" s="191">
        <v>0</v>
      </c>
      <c r="AR55" s="191">
        <v>0</v>
      </c>
      <c r="AS55" s="191">
        <v>0</v>
      </c>
      <c r="AT55" s="191">
        <v>0</v>
      </c>
      <c r="AU55" s="191">
        <v>0</v>
      </c>
      <c r="AV55" s="191">
        <v>0</v>
      </c>
    </row>
    <row r="56" spans="2:48" ht="15.6" customHeight="1" outlineLevel="1">
      <c r="B56" s="264"/>
      <c r="C56" s="265"/>
      <c r="D56" s="167" t="s">
        <v>169</v>
      </c>
      <c r="E56" s="199" t="e" cm="1">
        <f t="array" aca="1" ref="E56" ca="1">AVERAGE(_xlfn._xlws.FILTER(G56:AV56, $G$3:$AV$3 &lt;= $E$2))</f>
        <v>#NAME?</v>
      </c>
      <c r="F56" s="188"/>
      <c r="G56" s="191">
        <v>0</v>
      </c>
      <c r="H56" s="191">
        <v>0</v>
      </c>
      <c r="I56" s="191">
        <v>0</v>
      </c>
      <c r="J56" s="191">
        <v>0</v>
      </c>
      <c r="K56" s="191">
        <v>0</v>
      </c>
      <c r="L56" s="191">
        <v>0</v>
      </c>
      <c r="M56" s="191">
        <v>0</v>
      </c>
      <c r="N56" s="191">
        <v>0</v>
      </c>
      <c r="O56" s="191">
        <v>0</v>
      </c>
      <c r="P56" s="191">
        <v>0</v>
      </c>
      <c r="Q56" s="191">
        <v>0</v>
      </c>
      <c r="R56" s="191">
        <v>0</v>
      </c>
      <c r="S56" s="191">
        <v>0</v>
      </c>
      <c r="T56" s="191">
        <v>0</v>
      </c>
      <c r="U56" s="191">
        <v>0</v>
      </c>
      <c r="V56" s="191">
        <v>0</v>
      </c>
      <c r="W56" s="191">
        <v>0</v>
      </c>
      <c r="X56" s="191">
        <v>0</v>
      </c>
      <c r="Y56" s="191">
        <v>0</v>
      </c>
      <c r="Z56" s="191">
        <v>0</v>
      </c>
      <c r="AA56" s="191">
        <v>0</v>
      </c>
      <c r="AB56" s="191">
        <v>0</v>
      </c>
      <c r="AC56" s="191">
        <v>0</v>
      </c>
      <c r="AD56" s="191">
        <v>0</v>
      </c>
      <c r="AE56" s="191">
        <v>0</v>
      </c>
      <c r="AF56" s="191">
        <v>0</v>
      </c>
      <c r="AG56" s="191">
        <v>0</v>
      </c>
      <c r="AH56" s="191">
        <v>0</v>
      </c>
      <c r="AI56" s="191">
        <v>0</v>
      </c>
      <c r="AJ56" s="191">
        <v>0</v>
      </c>
      <c r="AK56" s="191">
        <v>0</v>
      </c>
      <c r="AL56" s="191">
        <v>0</v>
      </c>
      <c r="AM56" s="191">
        <v>0</v>
      </c>
      <c r="AN56" s="191">
        <v>0</v>
      </c>
      <c r="AO56" s="191">
        <v>0</v>
      </c>
      <c r="AP56" s="191">
        <v>0</v>
      </c>
      <c r="AQ56" s="191">
        <v>0</v>
      </c>
      <c r="AR56" s="191">
        <v>0</v>
      </c>
      <c r="AS56" s="191">
        <v>0</v>
      </c>
      <c r="AT56" s="191">
        <v>0</v>
      </c>
      <c r="AU56" s="191">
        <v>0</v>
      </c>
      <c r="AV56" s="191">
        <v>0</v>
      </c>
    </row>
    <row r="57" spans="2:48" ht="15.6" customHeight="1" outlineLevel="1">
      <c r="B57" s="264"/>
      <c r="C57" s="265"/>
      <c r="D57" s="167" t="s">
        <v>170</v>
      </c>
      <c r="E57" s="199" t="e" cm="1">
        <f t="array" aca="1" ref="E57" ca="1">AVERAGE(_xlfn._xlws.FILTER(G57:AV57, $G$3:$AV$3 &lt;= $E$2))</f>
        <v>#NAME?</v>
      </c>
      <c r="F57" s="188"/>
      <c r="G57" s="191">
        <v>0</v>
      </c>
      <c r="H57" s="191">
        <v>0</v>
      </c>
      <c r="I57" s="191">
        <v>0</v>
      </c>
      <c r="J57" s="191">
        <v>0</v>
      </c>
      <c r="K57" s="191">
        <v>0</v>
      </c>
      <c r="L57" s="191">
        <v>0</v>
      </c>
      <c r="M57" s="191">
        <v>0</v>
      </c>
      <c r="N57" s="191">
        <v>0</v>
      </c>
      <c r="O57" s="191">
        <v>0</v>
      </c>
      <c r="P57" s="191">
        <v>0</v>
      </c>
      <c r="Q57" s="191">
        <v>0</v>
      </c>
      <c r="R57" s="191">
        <v>0</v>
      </c>
      <c r="S57" s="191">
        <v>0</v>
      </c>
      <c r="T57" s="191">
        <v>0</v>
      </c>
      <c r="U57" s="191">
        <v>0</v>
      </c>
      <c r="V57" s="191">
        <v>0</v>
      </c>
      <c r="W57" s="191">
        <v>0</v>
      </c>
      <c r="X57" s="191">
        <v>0</v>
      </c>
      <c r="Y57" s="191">
        <v>0</v>
      </c>
      <c r="Z57" s="191">
        <v>0</v>
      </c>
      <c r="AA57" s="191">
        <v>0</v>
      </c>
      <c r="AB57" s="191">
        <v>0</v>
      </c>
      <c r="AC57" s="191">
        <v>0</v>
      </c>
      <c r="AD57" s="191">
        <v>0</v>
      </c>
      <c r="AE57" s="191">
        <v>0</v>
      </c>
      <c r="AF57" s="191">
        <v>0</v>
      </c>
      <c r="AG57" s="191">
        <v>0</v>
      </c>
      <c r="AH57" s="191">
        <v>0</v>
      </c>
      <c r="AI57" s="191">
        <v>0</v>
      </c>
      <c r="AJ57" s="191">
        <v>0</v>
      </c>
      <c r="AK57" s="191">
        <v>0</v>
      </c>
      <c r="AL57" s="191">
        <v>0</v>
      </c>
      <c r="AM57" s="191">
        <v>0</v>
      </c>
      <c r="AN57" s="191">
        <v>0</v>
      </c>
      <c r="AO57" s="191">
        <v>0</v>
      </c>
      <c r="AP57" s="191">
        <v>0</v>
      </c>
      <c r="AQ57" s="191">
        <v>0</v>
      </c>
      <c r="AR57" s="191">
        <v>0</v>
      </c>
      <c r="AS57" s="191">
        <v>0</v>
      </c>
      <c r="AT57" s="191">
        <v>0</v>
      </c>
      <c r="AU57" s="191">
        <v>0</v>
      </c>
      <c r="AV57" s="191">
        <v>0</v>
      </c>
    </row>
    <row r="58" spans="2:48" ht="15.6" customHeight="1" outlineLevel="1">
      <c r="B58" s="264"/>
      <c r="C58" s="265"/>
      <c r="D58" s="167" t="s">
        <v>171</v>
      </c>
      <c r="E58" s="199" t="e" cm="1">
        <f t="array" aca="1" ref="E58" ca="1">AVERAGE(_xlfn._xlws.FILTER(G58:AV58, $G$3:$AV$3 &lt;= $E$2))</f>
        <v>#NAME?</v>
      </c>
      <c r="F58" s="188"/>
      <c r="G58" s="191">
        <v>0</v>
      </c>
      <c r="H58" s="191">
        <v>0</v>
      </c>
      <c r="I58" s="191">
        <v>0</v>
      </c>
      <c r="J58" s="191">
        <v>0</v>
      </c>
      <c r="K58" s="191">
        <v>0</v>
      </c>
      <c r="L58" s="191">
        <v>0</v>
      </c>
      <c r="M58" s="191">
        <v>0</v>
      </c>
      <c r="N58" s="191">
        <v>0</v>
      </c>
      <c r="O58" s="191">
        <v>0</v>
      </c>
      <c r="P58" s="191">
        <v>0</v>
      </c>
      <c r="Q58" s="191">
        <v>0</v>
      </c>
      <c r="R58" s="191">
        <v>0</v>
      </c>
      <c r="S58" s="191">
        <v>0</v>
      </c>
      <c r="T58" s="191">
        <v>0</v>
      </c>
      <c r="U58" s="191">
        <v>0</v>
      </c>
      <c r="V58" s="191">
        <v>0</v>
      </c>
      <c r="W58" s="191">
        <v>0</v>
      </c>
      <c r="X58" s="191">
        <v>0</v>
      </c>
      <c r="Y58" s="191">
        <v>0</v>
      </c>
      <c r="Z58" s="191">
        <v>0</v>
      </c>
      <c r="AA58" s="191">
        <v>0</v>
      </c>
      <c r="AB58" s="191">
        <v>0</v>
      </c>
      <c r="AC58" s="191">
        <v>0</v>
      </c>
      <c r="AD58" s="191">
        <v>0</v>
      </c>
      <c r="AE58" s="191">
        <v>0</v>
      </c>
      <c r="AF58" s="191">
        <v>0</v>
      </c>
      <c r="AG58" s="191">
        <v>0</v>
      </c>
      <c r="AH58" s="191">
        <v>0</v>
      </c>
      <c r="AI58" s="191">
        <v>0</v>
      </c>
      <c r="AJ58" s="191">
        <v>0</v>
      </c>
      <c r="AK58" s="191">
        <v>0</v>
      </c>
      <c r="AL58" s="191">
        <v>0</v>
      </c>
      <c r="AM58" s="191">
        <v>0</v>
      </c>
      <c r="AN58" s="191">
        <v>0</v>
      </c>
      <c r="AO58" s="191">
        <v>0</v>
      </c>
      <c r="AP58" s="191">
        <v>0</v>
      </c>
      <c r="AQ58" s="191">
        <v>0</v>
      </c>
      <c r="AR58" s="191">
        <v>0</v>
      </c>
      <c r="AS58" s="191">
        <v>0</v>
      </c>
      <c r="AT58" s="191">
        <v>0</v>
      </c>
      <c r="AU58" s="191">
        <v>0</v>
      </c>
      <c r="AV58" s="191">
        <v>0</v>
      </c>
    </row>
    <row r="59" spans="2:48" ht="15.6" customHeight="1" outlineLevel="1">
      <c r="B59" s="264"/>
      <c r="C59" s="265"/>
      <c r="D59" s="167" t="s">
        <v>378</v>
      </c>
      <c r="E59" s="199" t="e" cm="1">
        <f t="array" aca="1" ref="E59" ca="1">AVERAGE(_xlfn._xlws.FILTER(G59:AV59, $G$3:$AV$3 &lt;= $E$2))</f>
        <v>#NAME?</v>
      </c>
      <c r="F59" s="188"/>
      <c r="G59" s="191">
        <v>0</v>
      </c>
      <c r="H59" s="191">
        <v>0</v>
      </c>
      <c r="I59" s="191">
        <v>0</v>
      </c>
      <c r="J59" s="191">
        <v>0</v>
      </c>
      <c r="K59" s="191">
        <v>0</v>
      </c>
      <c r="L59" s="191">
        <v>0</v>
      </c>
      <c r="M59" s="191">
        <v>0</v>
      </c>
      <c r="N59" s="191">
        <v>0</v>
      </c>
      <c r="O59" s="191">
        <v>0</v>
      </c>
      <c r="P59" s="191">
        <v>0</v>
      </c>
      <c r="Q59" s="191">
        <v>0</v>
      </c>
      <c r="R59" s="191">
        <v>0</v>
      </c>
      <c r="S59" s="191">
        <v>0</v>
      </c>
      <c r="T59" s="191">
        <v>0</v>
      </c>
      <c r="U59" s="191">
        <v>0</v>
      </c>
      <c r="V59" s="191">
        <v>0</v>
      </c>
      <c r="W59" s="191">
        <v>0</v>
      </c>
      <c r="X59" s="191">
        <v>0</v>
      </c>
      <c r="Y59" s="191">
        <v>0</v>
      </c>
      <c r="Z59" s="191">
        <v>0</v>
      </c>
      <c r="AA59" s="191">
        <v>0</v>
      </c>
      <c r="AB59" s="191">
        <v>0</v>
      </c>
      <c r="AC59" s="191">
        <v>0</v>
      </c>
      <c r="AD59" s="191">
        <v>0</v>
      </c>
      <c r="AE59" s="191">
        <v>0</v>
      </c>
      <c r="AF59" s="191">
        <v>0</v>
      </c>
      <c r="AG59" s="191">
        <v>0</v>
      </c>
      <c r="AH59" s="191">
        <v>0</v>
      </c>
      <c r="AI59" s="191">
        <v>0</v>
      </c>
      <c r="AJ59" s="191">
        <v>0</v>
      </c>
      <c r="AK59" s="191">
        <v>0</v>
      </c>
      <c r="AL59" s="191">
        <v>0</v>
      </c>
      <c r="AM59" s="191">
        <v>0</v>
      </c>
      <c r="AN59" s="191">
        <v>0</v>
      </c>
      <c r="AO59" s="191">
        <v>0</v>
      </c>
      <c r="AP59" s="191">
        <v>0</v>
      </c>
      <c r="AQ59" s="191">
        <v>0</v>
      </c>
      <c r="AR59" s="191">
        <v>0</v>
      </c>
      <c r="AS59" s="191">
        <v>0</v>
      </c>
      <c r="AT59" s="191">
        <v>0</v>
      </c>
      <c r="AU59" s="191">
        <v>0</v>
      </c>
      <c r="AV59" s="191">
        <v>0</v>
      </c>
    </row>
    <row r="60" spans="2:48">
      <c r="B60" s="264"/>
      <c r="C60" s="265"/>
      <c r="D60" s="219" t="s">
        <v>405</v>
      </c>
      <c r="E60" s="223" t="e" cm="1">
        <f t="array" aca="1" ref="E60" ca="1">AVERAGE(_xlfn._xlws.FILTER(G60:AV60, $G$3:$AV$3 &lt;= $E$2))</f>
        <v>#NAME?</v>
      </c>
      <c r="F60" s="221"/>
      <c r="G60" s="224">
        <v>0</v>
      </c>
      <c r="H60" s="224">
        <v>0</v>
      </c>
      <c r="I60" s="224">
        <f>SUM(I61:I62)</f>
        <v>0</v>
      </c>
      <c r="J60" s="224">
        <v>0</v>
      </c>
      <c r="K60" s="224">
        <v>0</v>
      </c>
      <c r="L60" s="224">
        <v>0</v>
      </c>
      <c r="M60" s="224">
        <v>0</v>
      </c>
      <c r="N60" s="224">
        <v>0</v>
      </c>
      <c r="O60" s="224">
        <v>0</v>
      </c>
      <c r="P60" s="224">
        <v>0</v>
      </c>
      <c r="Q60" s="224">
        <v>0</v>
      </c>
      <c r="R60" s="224">
        <v>0</v>
      </c>
      <c r="S60" s="224">
        <v>0</v>
      </c>
      <c r="T60" s="224">
        <v>0</v>
      </c>
      <c r="U60" s="224">
        <v>0</v>
      </c>
      <c r="V60" s="224">
        <v>0</v>
      </c>
      <c r="W60" s="224">
        <v>0</v>
      </c>
      <c r="X60" s="224">
        <v>0</v>
      </c>
      <c r="Y60" s="224">
        <v>0</v>
      </c>
      <c r="Z60" s="224">
        <v>0</v>
      </c>
      <c r="AA60" s="224">
        <v>0</v>
      </c>
      <c r="AB60" s="224">
        <v>0</v>
      </c>
      <c r="AC60" s="224">
        <v>0</v>
      </c>
      <c r="AD60" s="224">
        <v>0</v>
      </c>
      <c r="AE60" s="224">
        <v>0</v>
      </c>
      <c r="AF60" s="224">
        <v>0</v>
      </c>
      <c r="AG60" s="224">
        <v>0</v>
      </c>
      <c r="AH60" s="224">
        <v>0</v>
      </c>
      <c r="AI60" s="224">
        <v>0</v>
      </c>
      <c r="AJ60" s="224">
        <v>0</v>
      </c>
      <c r="AK60" s="224">
        <v>0</v>
      </c>
      <c r="AL60" s="224">
        <v>0</v>
      </c>
      <c r="AM60" s="224">
        <v>0</v>
      </c>
      <c r="AN60" s="224">
        <v>0</v>
      </c>
      <c r="AO60" s="224">
        <v>0</v>
      </c>
      <c r="AP60" s="224">
        <v>0</v>
      </c>
      <c r="AQ60" s="224">
        <v>0</v>
      </c>
      <c r="AR60" s="224">
        <v>0</v>
      </c>
      <c r="AS60" s="224">
        <v>0</v>
      </c>
      <c r="AT60" s="224">
        <v>0</v>
      </c>
      <c r="AU60" s="224">
        <v>0</v>
      </c>
      <c r="AV60" s="224">
        <v>0</v>
      </c>
    </row>
    <row r="61" spans="2:48" ht="15.6" customHeight="1" outlineLevel="1">
      <c r="B61" s="264"/>
      <c r="C61" s="265"/>
      <c r="D61" s="167" t="s">
        <v>210</v>
      </c>
      <c r="E61" s="199" t="e" cm="1">
        <f t="array" aca="1" ref="E61" ca="1">AVERAGE(_xlfn._xlws.FILTER(G61:AV61, $G$3:$AV$3 &lt;= $E$2))</f>
        <v>#NAME?</v>
      </c>
      <c r="F61" s="188"/>
      <c r="G61" s="191">
        <v>0</v>
      </c>
      <c r="H61" s="191">
        <v>0</v>
      </c>
      <c r="I61" s="191">
        <v>0</v>
      </c>
      <c r="J61" s="191">
        <v>0</v>
      </c>
      <c r="K61" s="191">
        <v>0</v>
      </c>
      <c r="L61" s="191">
        <v>0</v>
      </c>
      <c r="M61" s="191">
        <v>0</v>
      </c>
      <c r="N61" s="191">
        <v>0</v>
      </c>
      <c r="O61" s="191">
        <v>0</v>
      </c>
      <c r="P61" s="191">
        <v>0</v>
      </c>
      <c r="Q61" s="191">
        <v>0</v>
      </c>
      <c r="R61" s="191">
        <v>0</v>
      </c>
      <c r="S61" s="191">
        <v>0</v>
      </c>
      <c r="T61" s="191">
        <v>0</v>
      </c>
      <c r="U61" s="191">
        <v>0</v>
      </c>
      <c r="V61" s="191">
        <v>0</v>
      </c>
      <c r="W61" s="191">
        <v>0</v>
      </c>
      <c r="X61" s="191">
        <v>0</v>
      </c>
      <c r="Y61" s="191">
        <v>0</v>
      </c>
      <c r="Z61" s="191">
        <v>0</v>
      </c>
      <c r="AA61" s="191">
        <v>0</v>
      </c>
      <c r="AB61" s="191">
        <v>0</v>
      </c>
      <c r="AC61" s="191">
        <v>0</v>
      </c>
      <c r="AD61" s="191">
        <v>0</v>
      </c>
      <c r="AE61" s="191">
        <v>0</v>
      </c>
      <c r="AF61" s="191">
        <v>0</v>
      </c>
      <c r="AG61" s="191">
        <v>0</v>
      </c>
      <c r="AH61" s="191">
        <v>0</v>
      </c>
      <c r="AI61" s="191">
        <v>0</v>
      </c>
      <c r="AJ61" s="191">
        <v>0</v>
      </c>
      <c r="AK61" s="191">
        <v>0</v>
      </c>
      <c r="AL61" s="191">
        <v>0</v>
      </c>
      <c r="AM61" s="191">
        <v>0</v>
      </c>
      <c r="AN61" s="191">
        <v>0</v>
      </c>
      <c r="AO61" s="191">
        <v>0</v>
      </c>
      <c r="AP61" s="191">
        <v>0</v>
      </c>
      <c r="AQ61" s="191">
        <v>0</v>
      </c>
      <c r="AR61" s="191">
        <v>0</v>
      </c>
      <c r="AS61" s="191">
        <v>0</v>
      </c>
      <c r="AT61" s="191">
        <v>0</v>
      </c>
      <c r="AU61" s="191">
        <v>0</v>
      </c>
      <c r="AV61" s="191">
        <v>0</v>
      </c>
    </row>
    <row r="62" spans="2:48" ht="15.6" customHeight="1" outlineLevel="1">
      <c r="B62" s="264"/>
      <c r="C62" s="265"/>
      <c r="D62" s="167" t="s">
        <v>211</v>
      </c>
      <c r="E62" s="199" t="e" cm="1">
        <f t="array" aca="1" ref="E62" ca="1">AVERAGE(_xlfn._xlws.FILTER(G62:AV62, $G$3:$AV$3 &lt;= $E$2))</f>
        <v>#NAME?</v>
      </c>
      <c r="F62" s="188"/>
      <c r="G62" s="191">
        <v>0</v>
      </c>
      <c r="H62" s="191">
        <v>0</v>
      </c>
      <c r="I62" s="191">
        <v>0</v>
      </c>
      <c r="J62" s="191">
        <v>0</v>
      </c>
      <c r="K62" s="191">
        <v>0</v>
      </c>
      <c r="L62" s="191">
        <v>0</v>
      </c>
      <c r="M62" s="191">
        <v>0</v>
      </c>
      <c r="N62" s="191">
        <v>0</v>
      </c>
      <c r="O62" s="191">
        <v>0</v>
      </c>
      <c r="P62" s="191">
        <v>0</v>
      </c>
      <c r="Q62" s="191">
        <v>0</v>
      </c>
      <c r="R62" s="191">
        <v>0</v>
      </c>
      <c r="S62" s="191">
        <v>0</v>
      </c>
      <c r="T62" s="191">
        <v>0</v>
      </c>
      <c r="U62" s="191">
        <v>0</v>
      </c>
      <c r="V62" s="191">
        <v>0</v>
      </c>
      <c r="W62" s="191">
        <v>0</v>
      </c>
      <c r="X62" s="191">
        <v>0</v>
      </c>
      <c r="Y62" s="191">
        <v>0</v>
      </c>
      <c r="Z62" s="191">
        <v>0</v>
      </c>
      <c r="AA62" s="191">
        <v>0</v>
      </c>
      <c r="AB62" s="191">
        <v>0</v>
      </c>
      <c r="AC62" s="191">
        <v>0</v>
      </c>
      <c r="AD62" s="191">
        <v>0</v>
      </c>
      <c r="AE62" s="191">
        <v>0</v>
      </c>
      <c r="AF62" s="191">
        <v>0</v>
      </c>
      <c r="AG62" s="191">
        <v>0</v>
      </c>
      <c r="AH62" s="191">
        <v>0</v>
      </c>
      <c r="AI62" s="191">
        <v>0</v>
      </c>
      <c r="AJ62" s="191">
        <v>0</v>
      </c>
      <c r="AK62" s="191">
        <v>0</v>
      </c>
      <c r="AL62" s="191">
        <v>0</v>
      </c>
      <c r="AM62" s="191">
        <v>0</v>
      </c>
      <c r="AN62" s="191">
        <v>0</v>
      </c>
      <c r="AO62" s="191">
        <v>0</v>
      </c>
      <c r="AP62" s="191">
        <v>0</v>
      </c>
      <c r="AQ62" s="191">
        <v>0</v>
      </c>
      <c r="AR62" s="191">
        <v>0</v>
      </c>
      <c r="AS62" s="191">
        <v>0</v>
      </c>
      <c r="AT62" s="191">
        <v>0</v>
      </c>
      <c r="AU62" s="191">
        <v>0</v>
      </c>
      <c r="AV62" s="191">
        <v>0</v>
      </c>
    </row>
    <row r="63" spans="2:48" ht="15.6" customHeight="1" outlineLevel="1">
      <c r="B63" s="264"/>
      <c r="C63" s="265"/>
      <c r="D63" s="167" t="s">
        <v>212</v>
      </c>
      <c r="E63" s="199" t="e" cm="1">
        <f t="array" aca="1" ref="E63" ca="1">AVERAGE(_xlfn._xlws.FILTER(G63:AV63, $G$3:$AV$3 &lt;= $E$2))</f>
        <v>#NAME?</v>
      </c>
      <c r="F63" s="188"/>
      <c r="G63" s="191">
        <v>0</v>
      </c>
      <c r="H63" s="191">
        <v>0</v>
      </c>
      <c r="I63" s="191">
        <v>0</v>
      </c>
      <c r="J63" s="191">
        <v>0</v>
      </c>
      <c r="K63" s="191">
        <v>0</v>
      </c>
      <c r="L63" s="191">
        <v>0</v>
      </c>
      <c r="M63" s="191">
        <v>0</v>
      </c>
      <c r="N63" s="191">
        <v>0</v>
      </c>
      <c r="O63" s="191">
        <v>0</v>
      </c>
      <c r="P63" s="191">
        <v>0</v>
      </c>
      <c r="Q63" s="191">
        <v>0</v>
      </c>
      <c r="R63" s="191">
        <v>0</v>
      </c>
      <c r="S63" s="191">
        <v>0</v>
      </c>
      <c r="T63" s="191">
        <v>0</v>
      </c>
      <c r="U63" s="191">
        <v>0</v>
      </c>
      <c r="V63" s="191">
        <v>0</v>
      </c>
      <c r="W63" s="191">
        <v>0</v>
      </c>
      <c r="X63" s="191">
        <v>0</v>
      </c>
      <c r="Y63" s="191">
        <v>0</v>
      </c>
      <c r="Z63" s="191">
        <v>0</v>
      </c>
      <c r="AA63" s="191">
        <v>0</v>
      </c>
      <c r="AB63" s="191">
        <v>0</v>
      </c>
      <c r="AC63" s="191">
        <v>0</v>
      </c>
      <c r="AD63" s="191">
        <v>0</v>
      </c>
      <c r="AE63" s="191">
        <v>0</v>
      </c>
      <c r="AF63" s="191">
        <v>0</v>
      </c>
      <c r="AG63" s="191">
        <v>0</v>
      </c>
      <c r="AH63" s="191">
        <v>0</v>
      </c>
      <c r="AI63" s="191">
        <v>0</v>
      </c>
      <c r="AJ63" s="191">
        <v>0</v>
      </c>
      <c r="AK63" s="191">
        <v>0</v>
      </c>
      <c r="AL63" s="191">
        <v>0</v>
      </c>
      <c r="AM63" s="191">
        <v>0</v>
      </c>
      <c r="AN63" s="191">
        <v>0</v>
      </c>
      <c r="AO63" s="191">
        <v>0</v>
      </c>
      <c r="AP63" s="191">
        <v>0</v>
      </c>
      <c r="AQ63" s="191">
        <v>0</v>
      </c>
      <c r="AR63" s="191">
        <v>0</v>
      </c>
      <c r="AS63" s="191">
        <v>0</v>
      </c>
      <c r="AT63" s="191">
        <v>0</v>
      </c>
      <c r="AU63" s="191">
        <v>0</v>
      </c>
      <c r="AV63" s="191">
        <v>0</v>
      </c>
    </row>
    <row r="64" spans="2:48" ht="15.6" customHeight="1" outlineLevel="1">
      <c r="B64" s="264"/>
      <c r="C64" s="265"/>
      <c r="D64" s="167" t="s">
        <v>406</v>
      </c>
      <c r="E64" s="199" t="e" cm="1">
        <f t="array" aca="1" ref="E64" ca="1">AVERAGE(_xlfn._xlws.FILTER(G64:AV64, $G$3:$AV$3 &lt;= $E$2))</f>
        <v>#NAME?</v>
      </c>
      <c r="F64" s="188"/>
      <c r="G64" s="191">
        <v>0</v>
      </c>
      <c r="H64" s="191">
        <v>0</v>
      </c>
      <c r="I64" s="191">
        <v>0</v>
      </c>
      <c r="J64" s="191">
        <v>0</v>
      </c>
      <c r="K64" s="191">
        <v>0</v>
      </c>
      <c r="L64" s="191">
        <v>0</v>
      </c>
      <c r="M64" s="191">
        <v>0</v>
      </c>
      <c r="N64" s="191">
        <v>0</v>
      </c>
      <c r="O64" s="191">
        <v>0</v>
      </c>
      <c r="P64" s="191">
        <v>0</v>
      </c>
      <c r="Q64" s="191">
        <v>0</v>
      </c>
      <c r="R64" s="191">
        <v>0</v>
      </c>
      <c r="S64" s="191">
        <v>0</v>
      </c>
      <c r="T64" s="191">
        <v>0</v>
      </c>
      <c r="U64" s="191">
        <v>0</v>
      </c>
      <c r="V64" s="191">
        <v>0</v>
      </c>
      <c r="W64" s="191">
        <v>0</v>
      </c>
      <c r="X64" s="191">
        <v>0</v>
      </c>
      <c r="Y64" s="191">
        <v>0</v>
      </c>
      <c r="Z64" s="191">
        <v>0</v>
      </c>
      <c r="AA64" s="191">
        <v>0</v>
      </c>
      <c r="AB64" s="191">
        <v>0</v>
      </c>
      <c r="AC64" s="191">
        <v>0</v>
      </c>
      <c r="AD64" s="191">
        <v>0</v>
      </c>
      <c r="AE64" s="191">
        <v>0</v>
      </c>
      <c r="AF64" s="191">
        <v>0</v>
      </c>
      <c r="AG64" s="191">
        <v>0</v>
      </c>
      <c r="AH64" s="191">
        <v>0</v>
      </c>
      <c r="AI64" s="191">
        <v>0</v>
      </c>
      <c r="AJ64" s="191">
        <v>0</v>
      </c>
      <c r="AK64" s="191">
        <v>0</v>
      </c>
      <c r="AL64" s="191">
        <v>0</v>
      </c>
      <c r="AM64" s="191">
        <v>0</v>
      </c>
      <c r="AN64" s="191">
        <v>0</v>
      </c>
      <c r="AO64" s="191">
        <v>0</v>
      </c>
      <c r="AP64" s="191">
        <v>0</v>
      </c>
      <c r="AQ64" s="191">
        <v>0</v>
      </c>
      <c r="AR64" s="191">
        <v>0</v>
      </c>
      <c r="AS64" s="191">
        <v>0</v>
      </c>
      <c r="AT64" s="191">
        <v>0</v>
      </c>
      <c r="AU64" s="191">
        <v>0</v>
      </c>
      <c r="AV64" s="191">
        <v>0</v>
      </c>
    </row>
    <row r="65" spans="2:48">
      <c r="B65" s="264"/>
      <c r="C65" s="228"/>
      <c r="D65" s="219" t="s">
        <v>407</v>
      </c>
      <c r="E65" s="223" t="e" cm="1">
        <f t="array" aca="1" ref="E65" ca="1">AVERAGE(_xlfn._xlws.FILTER(G65:AV65, $G$3:$AV$3 &lt;= $E$2))</f>
        <v>#NAME?</v>
      </c>
      <c r="F65" s="221"/>
      <c r="G65" s="224">
        <v>0</v>
      </c>
      <c r="H65" s="224">
        <v>0</v>
      </c>
      <c r="I65" s="224">
        <f>SUM(I66:I67)</f>
        <v>0</v>
      </c>
      <c r="J65" s="224">
        <v>0</v>
      </c>
      <c r="K65" s="224">
        <v>0</v>
      </c>
      <c r="L65" s="224">
        <v>0</v>
      </c>
      <c r="M65" s="224">
        <v>0</v>
      </c>
      <c r="N65" s="224">
        <v>0</v>
      </c>
      <c r="O65" s="224">
        <v>0</v>
      </c>
      <c r="P65" s="224">
        <v>0</v>
      </c>
      <c r="Q65" s="224">
        <v>0</v>
      </c>
      <c r="R65" s="224">
        <v>0</v>
      </c>
      <c r="S65" s="224">
        <v>0</v>
      </c>
      <c r="T65" s="224">
        <v>0</v>
      </c>
      <c r="U65" s="224">
        <v>0</v>
      </c>
      <c r="V65" s="224">
        <v>0</v>
      </c>
      <c r="W65" s="224">
        <v>0</v>
      </c>
      <c r="X65" s="224">
        <v>0</v>
      </c>
      <c r="Y65" s="224">
        <v>0</v>
      </c>
      <c r="Z65" s="224">
        <v>0</v>
      </c>
      <c r="AA65" s="224">
        <v>0</v>
      </c>
      <c r="AB65" s="224">
        <v>0</v>
      </c>
      <c r="AC65" s="224">
        <v>0</v>
      </c>
      <c r="AD65" s="224">
        <v>0</v>
      </c>
      <c r="AE65" s="224">
        <v>0</v>
      </c>
      <c r="AF65" s="224">
        <v>0</v>
      </c>
      <c r="AG65" s="224">
        <v>0</v>
      </c>
      <c r="AH65" s="224">
        <v>0</v>
      </c>
      <c r="AI65" s="224">
        <v>0</v>
      </c>
      <c r="AJ65" s="224">
        <v>0</v>
      </c>
      <c r="AK65" s="224">
        <v>0</v>
      </c>
      <c r="AL65" s="224">
        <v>0</v>
      </c>
      <c r="AM65" s="224">
        <v>0</v>
      </c>
      <c r="AN65" s="224">
        <v>0</v>
      </c>
      <c r="AO65" s="224">
        <v>0</v>
      </c>
      <c r="AP65" s="224">
        <v>0</v>
      </c>
      <c r="AQ65" s="224">
        <v>0</v>
      </c>
      <c r="AR65" s="224">
        <v>0</v>
      </c>
      <c r="AS65" s="224">
        <v>0</v>
      </c>
      <c r="AT65" s="224">
        <v>0</v>
      </c>
      <c r="AU65" s="224">
        <v>0</v>
      </c>
      <c r="AV65" s="224">
        <v>0</v>
      </c>
    </row>
    <row r="66" spans="2:48" ht="15.6" customHeight="1" outlineLevel="1">
      <c r="B66" s="264"/>
      <c r="C66" s="228"/>
      <c r="D66" s="167" t="s">
        <v>408</v>
      </c>
      <c r="E66" s="199" t="e" cm="1">
        <f t="array" aca="1" ref="E66" ca="1">AVERAGE(_xlfn._xlws.FILTER(G66:AV66, $G$3:$AV$3 &lt;= $E$2))</f>
        <v>#NAME?</v>
      </c>
      <c r="F66" s="188"/>
      <c r="G66" s="191">
        <v>0</v>
      </c>
      <c r="H66" s="191">
        <v>0</v>
      </c>
      <c r="I66" s="191">
        <v>0</v>
      </c>
      <c r="J66" s="191">
        <v>0</v>
      </c>
      <c r="K66" s="191">
        <v>0</v>
      </c>
      <c r="L66" s="191">
        <v>0</v>
      </c>
      <c r="M66" s="191">
        <v>0</v>
      </c>
      <c r="N66" s="191">
        <v>0</v>
      </c>
      <c r="O66" s="191">
        <v>0</v>
      </c>
      <c r="P66" s="191">
        <v>0</v>
      </c>
      <c r="Q66" s="191">
        <v>0</v>
      </c>
      <c r="R66" s="191">
        <v>0</v>
      </c>
      <c r="S66" s="191">
        <v>0</v>
      </c>
      <c r="T66" s="191">
        <v>0</v>
      </c>
      <c r="U66" s="191">
        <v>0</v>
      </c>
      <c r="V66" s="191">
        <v>0</v>
      </c>
      <c r="W66" s="191">
        <v>0</v>
      </c>
      <c r="X66" s="191">
        <v>0</v>
      </c>
      <c r="Y66" s="191">
        <v>0</v>
      </c>
      <c r="Z66" s="191">
        <v>0</v>
      </c>
      <c r="AA66" s="191">
        <v>0</v>
      </c>
      <c r="AB66" s="191">
        <v>0</v>
      </c>
      <c r="AC66" s="191">
        <v>0</v>
      </c>
      <c r="AD66" s="191">
        <v>0</v>
      </c>
      <c r="AE66" s="191">
        <v>0</v>
      </c>
      <c r="AF66" s="191">
        <v>0</v>
      </c>
      <c r="AG66" s="191">
        <v>0</v>
      </c>
      <c r="AH66" s="191">
        <v>0</v>
      </c>
      <c r="AI66" s="191">
        <v>0</v>
      </c>
      <c r="AJ66" s="191">
        <v>0</v>
      </c>
      <c r="AK66" s="191">
        <v>0</v>
      </c>
      <c r="AL66" s="191">
        <v>0</v>
      </c>
      <c r="AM66" s="191">
        <v>0</v>
      </c>
      <c r="AN66" s="191">
        <v>0</v>
      </c>
      <c r="AO66" s="191">
        <v>0</v>
      </c>
      <c r="AP66" s="191">
        <v>0</v>
      </c>
      <c r="AQ66" s="191">
        <v>0</v>
      </c>
      <c r="AR66" s="191">
        <v>0</v>
      </c>
      <c r="AS66" s="191">
        <v>0</v>
      </c>
      <c r="AT66" s="191">
        <v>0</v>
      </c>
      <c r="AU66" s="191">
        <v>0</v>
      </c>
      <c r="AV66" s="191">
        <v>0</v>
      </c>
    </row>
    <row r="67" spans="2:48" ht="15.6" customHeight="1" outlineLevel="1">
      <c r="B67" s="264"/>
      <c r="C67" s="228"/>
      <c r="D67" s="167" t="s">
        <v>409</v>
      </c>
      <c r="E67" s="199" t="e" cm="1">
        <f t="array" aca="1" ref="E67" ca="1">AVERAGE(_xlfn._xlws.FILTER(G67:AV67, $G$3:$AV$3 &lt;= $E$2))</f>
        <v>#NAME?</v>
      </c>
      <c r="F67" s="188"/>
      <c r="G67" s="191">
        <v>0</v>
      </c>
      <c r="H67" s="191">
        <v>0</v>
      </c>
      <c r="I67" s="191">
        <v>0</v>
      </c>
      <c r="J67" s="191">
        <v>0</v>
      </c>
      <c r="K67" s="191">
        <v>0</v>
      </c>
      <c r="L67" s="191">
        <v>0</v>
      </c>
      <c r="M67" s="191">
        <v>0</v>
      </c>
      <c r="N67" s="191">
        <v>0</v>
      </c>
      <c r="O67" s="191">
        <v>0</v>
      </c>
      <c r="P67" s="191">
        <v>0</v>
      </c>
      <c r="Q67" s="191">
        <v>0</v>
      </c>
      <c r="R67" s="191">
        <v>0</v>
      </c>
      <c r="S67" s="191">
        <v>0</v>
      </c>
      <c r="T67" s="191">
        <v>0</v>
      </c>
      <c r="U67" s="191">
        <v>0</v>
      </c>
      <c r="V67" s="191">
        <v>0</v>
      </c>
      <c r="W67" s="191">
        <v>0</v>
      </c>
      <c r="X67" s="191">
        <v>0</v>
      </c>
      <c r="Y67" s="191">
        <v>0</v>
      </c>
      <c r="Z67" s="191">
        <v>0</v>
      </c>
      <c r="AA67" s="191">
        <v>0</v>
      </c>
      <c r="AB67" s="191">
        <v>0</v>
      </c>
      <c r="AC67" s="191">
        <v>0</v>
      </c>
      <c r="AD67" s="191">
        <v>0</v>
      </c>
      <c r="AE67" s="191">
        <v>0</v>
      </c>
      <c r="AF67" s="191">
        <v>0</v>
      </c>
      <c r="AG67" s="191">
        <v>0</v>
      </c>
      <c r="AH67" s="191">
        <v>0</v>
      </c>
      <c r="AI67" s="191">
        <v>0</v>
      </c>
      <c r="AJ67" s="191">
        <v>0</v>
      </c>
      <c r="AK67" s="191">
        <v>0</v>
      </c>
      <c r="AL67" s="191">
        <v>0</v>
      </c>
      <c r="AM67" s="191">
        <v>0</v>
      </c>
      <c r="AN67" s="191">
        <v>0</v>
      </c>
      <c r="AO67" s="191">
        <v>0</v>
      </c>
      <c r="AP67" s="191">
        <v>0</v>
      </c>
      <c r="AQ67" s="191">
        <v>0</v>
      </c>
      <c r="AR67" s="191">
        <v>0</v>
      </c>
      <c r="AS67" s="191">
        <v>0</v>
      </c>
      <c r="AT67" s="191">
        <v>0</v>
      </c>
      <c r="AU67" s="191">
        <v>0</v>
      </c>
      <c r="AV67" s="191">
        <v>0</v>
      </c>
    </row>
    <row r="68" spans="2:48" ht="15.6" customHeight="1" outlineLevel="1">
      <c r="B68" s="264"/>
      <c r="C68" s="228"/>
      <c r="D68" s="167" t="s">
        <v>410</v>
      </c>
      <c r="E68" s="199" t="e" cm="1">
        <f t="array" aca="1" ref="E68" ca="1">AVERAGE(_xlfn._xlws.FILTER(G68:AV68, $G$3:$AV$3 &lt;= $E$2))</f>
        <v>#NAME?</v>
      </c>
      <c r="F68" s="188"/>
      <c r="G68" s="191">
        <v>0</v>
      </c>
      <c r="H68" s="191">
        <v>0</v>
      </c>
      <c r="I68" s="191">
        <v>0</v>
      </c>
      <c r="J68" s="191">
        <v>0</v>
      </c>
      <c r="K68" s="191">
        <v>0</v>
      </c>
      <c r="L68" s="191">
        <v>0</v>
      </c>
      <c r="M68" s="191">
        <v>0</v>
      </c>
      <c r="N68" s="191">
        <v>0</v>
      </c>
      <c r="O68" s="191">
        <v>0</v>
      </c>
      <c r="P68" s="191">
        <v>0</v>
      </c>
      <c r="Q68" s="191">
        <v>0</v>
      </c>
      <c r="R68" s="191">
        <v>0</v>
      </c>
      <c r="S68" s="191">
        <v>0</v>
      </c>
      <c r="T68" s="191">
        <v>0</v>
      </c>
      <c r="U68" s="191">
        <v>0</v>
      </c>
      <c r="V68" s="191">
        <v>0</v>
      </c>
      <c r="W68" s="191">
        <v>0</v>
      </c>
      <c r="X68" s="191">
        <v>0</v>
      </c>
      <c r="Y68" s="191">
        <v>0</v>
      </c>
      <c r="Z68" s="191">
        <v>0</v>
      </c>
      <c r="AA68" s="191">
        <v>0</v>
      </c>
      <c r="AB68" s="191">
        <v>0</v>
      </c>
      <c r="AC68" s="191">
        <v>0</v>
      </c>
      <c r="AD68" s="191">
        <v>0</v>
      </c>
      <c r="AE68" s="191">
        <v>0</v>
      </c>
      <c r="AF68" s="191">
        <v>0</v>
      </c>
      <c r="AG68" s="191">
        <v>0</v>
      </c>
      <c r="AH68" s="191">
        <v>0</v>
      </c>
      <c r="AI68" s="191">
        <v>0</v>
      </c>
      <c r="AJ68" s="191">
        <v>0</v>
      </c>
      <c r="AK68" s="191">
        <v>0</v>
      </c>
      <c r="AL68" s="191">
        <v>0</v>
      </c>
      <c r="AM68" s="191">
        <v>0</v>
      </c>
      <c r="AN68" s="191">
        <v>0</v>
      </c>
      <c r="AO68" s="191">
        <v>0</v>
      </c>
      <c r="AP68" s="191">
        <v>0</v>
      </c>
      <c r="AQ68" s="191">
        <v>0</v>
      </c>
      <c r="AR68" s="191">
        <v>0</v>
      </c>
      <c r="AS68" s="191">
        <v>0</v>
      </c>
      <c r="AT68" s="191">
        <v>0</v>
      </c>
      <c r="AU68" s="191">
        <v>0</v>
      </c>
      <c r="AV68" s="191">
        <v>0</v>
      </c>
    </row>
    <row r="69" spans="2:48" ht="15.6" customHeight="1" outlineLevel="1">
      <c r="B69" s="264"/>
      <c r="C69" s="228"/>
      <c r="D69" s="167" t="s">
        <v>378</v>
      </c>
      <c r="E69" s="199" t="e" cm="1">
        <f t="array" aca="1" ref="E69" ca="1">AVERAGE(_xlfn._xlws.FILTER(G69:AV69, $G$3:$AV$3 &lt;= $E$2))</f>
        <v>#NAME?</v>
      </c>
      <c r="F69" s="188"/>
      <c r="G69" s="191">
        <v>0</v>
      </c>
      <c r="H69" s="191">
        <v>0</v>
      </c>
      <c r="I69" s="191">
        <v>0</v>
      </c>
      <c r="J69" s="191">
        <v>0</v>
      </c>
      <c r="K69" s="191">
        <v>0</v>
      </c>
      <c r="L69" s="191">
        <v>0</v>
      </c>
      <c r="M69" s="191">
        <v>0</v>
      </c>
      <c r="N69" s="191">
        <v>0</v>
      </c>
      <c r="O69" s="191">
        <v>0</v>
      </c>
      <c r="P69" s="191">
        <v>0</v>
      </c>
      <c r="Q69" s="191">
        <v>0</v>
      </c>
      <c r="R69" s="191">
        <v>0</v>
      </c>
      <c r="S69" s="191">
        <v>0</v>
      </c>
      <c r="T69" s="191">
        <v>0</v>
      </c>
      <c r="U69" s="191">
        <v>0</v>
      </c>
      <c r="V69" s="191">
        <v>0</v>
      </c>
      <c r="W69" s="191">
        <v>0</v>
      </c>
      <c r="X69" s="191">
        <v>0</v>
      </c>
      <c r="Y69" s="191">
        <v>0</v>
      </c>
      <c r="Z69" s="191">
        <v>0</v>
      </c>
      <c r="AA69" s="191">
        <v>0</v>
      </c>
      <c r="AB69" s="191">
        <v>0</v>
      </c>
      <c r="AC69" s="191">
        <v>0</v>
      </c>
      <c r="AD69" s="191">
        <v>0</v>
      </c>
      <c r="AE69" s="191">
        <v>0</v>
      </c>
      <c r="AF69" s="191">
        <v>0</v>
      </c>
      <c r="AG69" s="191">
        <v>0</v>
      </c>
      <c r="AH69" s="191">
        <v>0</v>
      </c>
      <c r="AI69" s="191">
        <v>0</v>
      </c>
      <c r="AJ69" s="191">
        <v>0</v>
      </c>
      <c r="AK69" s="191">
        <v>0</v>
      </c>
      <c r="AL69" s="191">
        <v>0</v>
      </c>
      <c r="AM69" s="191">
        <v>0</v>
      </c>
      <c r="AN69" s="191">
        <v>0</v>
      </c>
      <c r="AO69" s="191">
        <v>0</v>
      </c>
      <c r="AP69" s="191">
        <v>0</v>
      </c>
      <c r="AQ69" s="191">
        <v>0</v>
      </c>
      <c r="AR69" s="191">
        <v>0</v>
      </c>
      <c r="AS69" s="191">
        <v>0</v>
      </c>
      <c r="AT69" s="191">
        <v>0</v>
      </c>
      <c r="AU69" s="191">
        <v>0</v>
      </c>
      <c r="AV69" s="191">
        <v>0</v>
      </c>
    </row>
    <row r="70" spans="2:48" ht="15.75" customHeight="1" thickBot="1">
      <c r="B70" s="264"/>
      <c r="C70" s="266" t="s">
        <v>411</v>
      </c>
      <c r="D70" s="219" t="s">
        <v>266</v>
      </c>
      <c r="E70" s="220" t="e" cm="1">
        <f t="array" aca="1" ref="E70" ca="1">AVERAGE(_xlfn._xlws.FILTER(G70:AV70, $G$3:$AV$3 &lt;= $E$2))</f>
        <v>#NAME?</v>
      </c>
      <c r="F70" s="221"/>
      <c r="G70" s="222">
        <f t="shared" ref="G70:AV70" si="15">SUM(G71:G80)</f>
        <v>86669</v>
      </c>
      <c r="H70" s="222">
        <f t="shared" si="15"/>
        <v>86669</v>
      </c>
      <c r="I70" s="222">
        <f t="shared" si="15"/>
        <v>86669</v>
      </c>
      <c r="J70" s="222">
        <f t="shared" si="15"/>
        <v>86669</v>
      </c>
      <c r="K70" s="222">
        <f t="shared" si="15"/>
        <v>86669</v>
      </c>
      <c r="L70" s="222">
        <f t="shared" si="15"/>
        <v>86669</v>
      </c>
      <c r="M70" s="222">
        <f t="shared" si="15"/>
        <v>72714</v>
      </c>
      <c r="N70" s="222">
        <f t="shared" si="15"/>
        <v>72714</v>
      </c>
      <c r="O70" s="222">
        <f t="shared" si="15"/>
        <v>72714</v>
      </c>
      <c r="P70" s="222">
        <f t="shared" si="15"/>
        <v>64914</v>
      </c>
      <c r="Q70" s="222">
        <f t="shared" si="15"/>
        <v>64914</v>
      </c>
      <c r="R70" s="222">
        <f t="shared" si="15"/>
        <v>64914</v>
      </c>
      <c r="S70" s="222">
        <f t="shared" si="15"/>
        <v>64914</v>
      </c>
      <c r="T70" s="222">
        <f t="shared" si="15"/>
        <v>64914</v>
      </c>
      <c r="U70" s="222">
        <f t="shared" si="15"/>
        <v>64914</v>
      </c>
      <c r="V70" s="222">
        <f t="shared" si="15"/>
        <v>64914</v>
      </c>
      <c r="W70" s="222">
        <f t="shared" si="15"/>
        <v>64914</v>
      </c>
      <c r="X70" s="222">
        <f t="shared" si="15"/>
        <v>64914</v>
      </c>
      <c r="Y70" s="222">
        <f t="shared" si="15"/>
        <v>64914</v>
      </c>
      <c r="Z70" s="222">
        <f t="shared" si="15"/>
        <v>64914</v>
      </c>
      <c r="AA70" s="222">
        <f t="shared" si="15"/>
        <v>64914</v>
      </c>
      <c r="AB70" s="222">
        <f t="shared" si="15"/>
        <v>64914</v>
      </c>
      <c r="AC70" s="222">
        <f t="shared" si="15"/>
        <v>64914</v>
      </c>
      <c r="AD70" s="222">
        <f t="shared" si="15"/>
        <v>64914</v>
      </c>
      <c r="AE70" s="222">
        <f t="shared" si="15"/>
        <v>64914</v>
      </c>
      <c r="AF70" s="222">
        <f t="shared" si="15"/>
        <v>64914</v>
      </c>
      <c r="AG70" s="222">
        <f t="shared" si="15"/>
        <v>64914</v>
      </c>
      <c r="AH70" s="222">
        <f t="shared" si="15"/>
        <v>64914</v>
      </c>
      <c r="AI70" s="222">
        <f t="shared" si="15"/>
        <v>64914</v>
      </c>
      <c r="AJ70" s="222">
        <f t="shared" si="15"/>
        <v>57654</v>
      </c>
      <c r="AK70" s="222">
        <f t="shared" si="15"/>
        <v>57654</v>
      </c>
      <c r="AL70" s="222">
        <f t="shared" si="15"/>
        <v>57654</v>
      </c>
      <c r="AM70" s="222">
        <f t="shared" si="15"/>
        <v>57654</v>
      </c>
      <c r="AN70" s="222">
        <f t="shared" si="15"/>
        <v>57654</v>
      </c>
      <c r="AO70" s="222">
        <f t="shared" si="15"/>
        <v>57656</v>
      </c>
      <c r="AP70" s="222">
        <f t="shared" si="15"/>
        <v>57658</v>
      </c>
      <c r="AQ70" s="222">
        <f t="shared" si="15"/>
        <v>57660</v>
      </c>
      <c r="AR70" s="222">
        <f t="shared" si="15"/>
        <v>57662</v>
      </c>
      <c r="AS70" s="222">
        <f t="shared" si="15"/>
        <v>57664</v>
      </c>
      <c r="AT70" s="222">
        <f t="shared" si="15"/>
        <v>57666</v>
      </c>
      <c r="AU70" s="222">
        <f t="shared" si="15"/>
        <v>57668</v>
      </c>
      <c r="AV70" s="222">
        <f t="shared" si="15"/>
        <v>57670</v>
      </c>
    </row>
    <row r="71" spans="2:48" ht="15.6" customHeight="1" outlineLevel="1">
      <c r="B71" s="264"/>
      <c r="C71" s="266"/>
      <c r="D71" s="171" t="s">
        <v>329</v>
      </c>
      <c r="E71" s="199" t="e" cm="1">
        <f t="array" aca="1" ref="E71" ca="1">AVERAGE(_xlfn._xlws.FILTER(G71:AV71, $G$3:$AV$3 &lt;= $E$2))</f>
        <v>#NAME?</v>
      </c>
      <c r="F71" s="188"/>
      <c r="G71" s="191">
        <v>6000</v>
      </c>
      <c r="H71" s="191">
        <v>6000</v>
      </c>
      <c r="I71" s="191">
        <v>6000</v>
      </c>
      <c r="J71" s="191">
        <v>6000</v>
      </c>
      <c r="K71" s="191">
        <v>6000</v>
      </c>
      <c r="L71" s="191">
        <v>6000</v>
      </c>
      <c r="M71" s="191">
        <v>0</v>
      </c>
      <c r="N71" s="191">
        <v>0</v>
      </c>
      <c r="O71" s="191">
        <v>0</v>
      </c>
      <c r="P71" s="191">
        <v>0</v>
      </c>
      <c r="Q71" s="191">
        <v>0</v>
      </c>
      <c r="R71" s="191">
        <v>0</v>
      </c>
      <c r="S71" s="191">
        <v>0</v>
      </c>
      <c r="T71" s="191">
        <v>0</v>
      </c>
      <c r="U71" s="191">
        <v>0</v>
      </c>
      <c r="V71" s="191">
        <v>0</v>
      </c>
      <c r="W71" s="191">
        <v>0</v>
      </c>
      <c r="X71" s="191">
        <v>0</v>
      </c>
      <c r="Y71" s="191">
        <v>0</v>
      </c>
      <c r="Z71" s="191">
        <v>0</v>
      </c>
      <c r="AA71" s="191">
        <v>0</v>
      </c>
      <c r="AB71" s="191">
        <v>0</v>
      </c>
      <c r="AC71" s="191">
        <v>0</v>
      </c>
      <c r="AD71" s="191">
        <v>0</v>
      </c>
      <c r="AE71" s="191">
        <v>0</v>
      </c>
      <c r="AF71" s="191">
        <v>0</v>
      </c>
      <c r="AG71" s="191">
        <v>0</v>
      </c>
      <c r="AH71" s="191">
        <v>0</v>
      </c>
      <c r="AI71" s="191">
        <v>0</v>
      </c>
      <c r="AJ71" s="191">
        <v>0</v>
      </c>
      <c r="AK71" s="191">
        <v>0</v>
      </c>
      <c r="AL71" s="191">
        <v>0</v>
      </c>
      <c r="AM71" s="191">
        <v>0</v>
      </c>
      <c r="AN71" s="191">
        <v>0</v>
      </c>
      <c r="AO71" s="191">
        <v>0</v>
      </c>
      <c r="AP71" s="191">
        <v>0</v>
      </c>
      <c r="AQ71" s="191">
        <v>0</v>
      </c>
      <c r="AR71" s="191">
        <v>0</v>
      </c>
      <c r="AS71" s="191">
        <v>0</v>
      </c>
      <c r="AT71" s="191">
        <v>0</v>
      </c>
      <c r="AU71" s="191">
        <v>0</v>
      </c>
      <c r="AV71" s="191">
        <v>0</v>
      </c>
    </row>
    <row r="72" spans="2:48" ht="15.6" customHeight="1" outlineLevel="1">
      <c r="B72" s="264"/>
      <c r="C72" s="266"/>
      <c r="D72" s="169" t="s">
        <v>331</v>
      </c>
      <c r="E72" s="199" t="e" cm="1">
        <f t="array" aca="1" ref="E72" ca="1">AVERAGE(_xlfn._xlws.FILTER(G72:AV72, $G$3:$AV$3 &lt;= $E$2))</f>
        <v>#NAME?</v>
      </c>
      <c r="F72" s="188"/>
      <c r="G72" s="191">
        <v>3000</v>
      </c>
      <c r="H72" s="191">
        <v>3000</v>
      </c>
      <c r="I72" s="191">
        <v>3000</v>
      </c>
      <c r="J72" s="191">
        <v>3000</v>
      </c>
      <c r="K72" s="191">
        <v>3000</v>
      </c>
      <c r="L72" s="191">
        <v>3000</v>
      </c>
      <c r="M72" s="191">
        <v>0</v>
      </c>
      <c r="N72" s="191">
        <v>0</v>
      </c>
      <c r="O72" s="191">
        <v>0</v>
      </c>
      <c r="P72" s="191">
        <v>0</v>
      </c>
      <c r="Q72" s="191">
        <v>0</v>
      </c>
      <c r="R72" s="191">
        <v>0</v>
      </c>
      <c r="S72" s="191">
        <v>0</v>
      </c>
      <c r="T72" s="191">
        <v>0</v>
      </c>
      <c r="U72" s="191">
        <v>0</v>
      </c>
      <c r="V72" s="191">
        <v>0</v>
      </c>
      <c r="W72" s="191">
        <v>0</v>
      </c>
      <c r="X72" s="191">
        <v>0</v>
      </c>
      <c r="Y72" s="191">
        <v>0</v>
      </c>
      <c r="Z72" s="191">
        <v>0</v>
      </c>
      <c r="AA72" s="191">
        <v>0</v>
      </c>
      <c r="AB72" s="191">
        <v>0</v>
      </c>
      <c r="AC72" s="191">
        <v>0</v>
      </c>
      <c r="AD72" s="191">
        <v>0</v>
      </c>
      <c r="AE72" s="191">
        <v>0</v>
      </c>
      <c r="AF72" s="191">
        <v>0</v>
      </c>
      <c r="AG72" s="191">
        <v>0</v>
      </c>
      <c r="AH72" s="191">
        <v>0</v>
      </c>
      <c r="AI72" s="191">
        <v>0</v>
      </c>
      <c r="AJ72" s="191">
        <v>0</v>
      </c>
      <c r="AK72" s="191">
        <v>0</v>
      </c>
      <c r="AL72" s="191">
        <v>0</v>
      </c>
      <c r="AM72" s="191">
        <v>0</v>
      </c>
      <c r="AN72" s="191">
        <v>0</v>
      </c>
      <c r="AO72" s="191">
        <v>0</v>
      </c>
      <c r="AP72" s="191">
        <v>0</v>
      </c>
      <c r="AQ72" s="191">
        <v>0</v>
      </c>
      <c r="AR72" s="191">
        <v>0</v>
      </c>
      <c r="AS72" s="191">
        <v>0</v>
      </c>
      <c r="AT72" s="191">
        <v>0</v>
      </c>
      <c r="AU72" s="191">
        <v>0</v>
      </c>
      <c r="AV72" s="191">
        <v>0</v>
      </c>
    </row>
    <row r="73" spans="2:48" ht="15.6" customHeight="1" outlineLevel="1">
      <c r="B73" s="264"/>
      <c r="C73" s="266"/>
      <c r="D73" s="169" t="s">
        <v>334</v>
      </c>
      <c r="E73" s="199" t="e" cm="1">
        <f t="array" aca="1" ref="E73" ca="1">AVERAGE(_xlfn._xlws.FILTER(G73:AV73, $G$3:$AV$3 &lt;= $E$2))</f>
        <v>#NAME?</v>
      </c>
      <c r="F73" s="188"/>
      <c r="G73" s="191">
        <v>5177</v>
      </c>
      <c r="H73" s="191">
        <v>5177</v>
      </c>
      <c r="I73" s="191">
        <v>5177</v>
      </c>
      <c r="J73" s="191">
        <v>5177</v>
      </c>
      <c r="K73" s="191">
        <v>5177</v>
      </c>
      <c r="L73" s="191">
        <v>5177</v>
      </c>
      <c r="M73" s="191">
        <v>0</v>
      </c>
      <c r="N73" s="191">
        <v>0</v>
      </c>
      <c r="O73" s="191">
        <v>0</v>
      </c>
      <c r="P73" s="191">
        <v>0</v>
      </c>
      <c r="Q73" s="191">
        <v>0</v>
      </c>
      <c r="R73" s="191">
        <v>0</v>
      </c>
      <c r="S73" s="191">
        <v>0</v>
      </c>
      <c r="T73" s="191">
        <v>0</v>
      </c>
      <c r="U73" s="191">
        <v>0</v>
      </c>
      <c r="V73" s="191">
        <v>0</v>
      </c>
      <c r="W73" s="191">
        <v>0</v>
      </c>
      <c r="X73" s="191">
        <v>0</v>
      </c>
      <c r="Y73" s="191">
        <v>0</v>
      </c>
      <c r="Z73" s="191">
        <v>0</v>
      </c>
      <c r="AA73" s="191">
        <v>0</v>
      </c>
      <c r="AB73" s="191">
        <v>0</v>
      </c>
      <c r="AC73" s="191">
        <v>0</v>
      </c>
      <c r="AD73" s="191">
        <v>0</v>
      </c>
      <c r="AE73" s="191">
        <v>0</v>
      </c>
      <c r="AF73" s="191">
        <v>0</v>
      </c>
      <c r="AG73" s="191">
        <v>0</v>
      </c>
      <c r="AH73" s="191">
        <v>0</v>
      </c>
      <c r="AI73" s="191">
        <v>0</v>
      </c>
      <c r="AJ73" s="191">
        <v>0</v>
      </c>
      <c r="AK73" s="191">
        <v>0</v>
      </c>
      <c r="AL73" s="191">
        <v>0</v>
      </c>
      <c r="AM73" s="191">
        <v>0</v>
      </c>
      <c r="AN73" s="191">
        <v>0</v>
      </c>
      <c r="AO73" s="191">
        <v>0</v>
      </c>
      <c r="AP73" s="191">
        <v>0</v>
      </c>
      <c r="AQ73" s="191">
        <v>0</v>
      </c>
      <c r="AR73" s="191">
        <v>0</v>
      </c>
      <c r="AS73" s="191">
        <v>0</v>
      </c>
      <c r="AT73" s="191">
        <v>0</v>
      </c>
      <c r="AU73" s="191">
        <v>0</v>
      </c>
      <c r="AV73" s="191">
        <v>0</v>
      </c>
    </row>
    <row r="74" spans="2:48" ht="15.6" customHeight="1" outlineLevel="1">
      <c r="B74" s="264"/>
      <c r="C74" s="266"/>
      <c r="D74" s="169" t="s">
        <v>334</v>
      </c>
      <c r="E74" s="199" t="e" cm="1">
        <f t="array" aca="1" ref="E74" ca="1">AVERAGE(_xlfn._xlws.FILTER(G74:AV74, $G$3:$AV$3 &lt;= $E$2))</f>
        <v>#NAME?</v>
      </c>
      <c r="F74" s="188"/>
      <c r="G74" s="191">
        <v>29911</v>
      </c>
      <c r="H74" s="191">
        <v>29911</v>
      </c>
      <c r="I74" s="191">
        <v>29911</v>
      </c>
      <c r="J74" s="191">
        <v>29911</v>
      </c>
      <c r="K74" s="191">
        <v>29911</v>
      </c>
      <c r="L74" s="191">
        <v>29911</v>
      </c>
      <c r="M74" s="191">
        <v>34526</v>
      </c>
      <c r="N74" s="191">
        <v>34526</v>
      </c>
      <c r="O74" s="191">
        <v>34526</v>
      </c>
      <c r="P74" s="191">
        <v>34526</v>
      </c>
      <c r="Q74" s="191">
        <v>34526</v>
      </c>
      <c r="R74" s="191">
        <v>34526</v>
      </c>
      <c r="S74" s="191">
        <v>34526</v>
      </c>
      <c r="T74" s="191">
        <v>34526</v>
      </c>
      <c r="U74" s="191">
        <v>34526</v>
      </c>
      <c r="V74" s="191">
        <v>34526</v>
      </c>
      <c r="W74" s="191">
        <v>34526</v>
      </c>
      <c r="X74" s="191">
        <v>34526</v>
      </c>
      <c r="Y74" s="191">
        <v>34526</v>
      </c>
      <c r="Z74" s="191">
        <v>34526</v>
      </c>
      <c r="AA74" s="191">
        <v>34526</v>
      </c>
      <c r="AB74" s="191">
        <v>34526</v>
      </c>
      <c r="AC74" s="191">
        <v>34526</v>
      </c>
      <c r="AD74" s="191">
        <v>34526</v>
      </c>
      <c r="AE74" s="191">
        <v>34526</v>
      </c>
      <c r="AF74" s="191">
        <v>34526</v>
      </c>
      <c r="AG74" s="191">
        <v>34526</v>
      </c>
      <c r="AH74" s="191">
        <v>34526</v>
      </c>
      <c r="AI74" s="191">
        <v>34526</v>
      </c>
      <c r="AJ74" s="191">
        <v>34526</v>
      </c>
      <c r="AK74" s="191">
        <v>34526</v>
      </c>
      <c r="AL74" s="191">
        <v>34526</v>
      </c>
      <c r="AM74" s="191">
        <v>34526</v>
      </c>
      <c r="AN74" s="191">
        <v>34526</v>
      </c>
      <c r="AO74" s="191">
        <v>34527</v>
      </c>
      <c r="AP74" s="191">
        <v>34528</v>
      </c>
      <c r="AQ74" s="191">
        <v>34529</v>
      </c>
      <c r="AR74" s="191">
        <v>34530</v>
      </c>
      <c r="AS74" s="191">
        <v>34531</v>
      </c>
      <c r="AT74" s="191">
        <v>34532</v>
      </c>
      <c r="AU74" s="191">
        <v>34533</v>
      </c>
      <c r="AV74" s="191">
        <v>34534</v>
      </c>
    </row>
    <row r="75" spans="2:48" ht="15.6" customHeight="1" outlineLevel="1">
      <c r="B75" s="264"/>
      <c r="C75" s="266"/>
      <c r="D75" s="169" t="s">
        <v>338</v>
      </c>
      <c r="E75" s="199" t="e" cm="1">
        <f t="array" aca="1" ref="E75" ca="1">AVERAGE(_xlfn._xlws.FILTER(G75:AV75, $G$3:$AV$3 &lt;= $E$2))</f>
        <v>#NAME?</v>
      </c>
      <c r="F75" s="188"/>
      <c r="G75" s="191">
        <v>1456</v>
      </c>
      <c r="H75" s="191">
        <v>1456</v>
      </c>
      <c r="I75" s="191">
        <v>1456</v>
      </c>
      <c r="J75" s="191">
        <v>1456</v>
      </c>
      <c r="K75" s="191">
        <v>1456</v>
      </c>
      <c r="L75" s="191">
        <v>1456</v>
      </c>
      <c r="M75" s="191">
        <v>0</v>
      </c>
      <c r="N75" s="191">
        <v>0</v>
      </c>
      <c r="O75" s="191">
        <v>0</v>
      </c>
      <c r="P75" s="191">
        <v>0</v>
      </c>
      <c r="Q75" s="191">
        <v>0</v>
      </c>
      <c r="R75" s="191">
        <v>0</v>
      </c>
      <c r="S75" s="191">
        <v>0</v>
      </c>
      <c r="T75" s="191">
        <v>0</v>
      </c>
      <c r="U75" s="191">
        <v>0</v>
      </c>
      <c r="V75" s="191">
        <v>0</v>
      </c>
      <c r="W75" s="191">
        <v>0</v>
      </c>
      <c r="X75" s="191">
        <v>0</v>
      </c>
      <c r="Y75" s="191">
        <v>0</v>
      </c>
      <c r="Z75" s="191">
        <v>0</v>
      </c>
      <c r="AA75" s="191">
        <v>0</v>
      </c>
      <c r="AB75" s="191">
        <v>0</v>
      </c>
      <c r="AC75" s="191">
        <v>0</v>
      </c>
      <c r="AD75" s="191">
        <v>0</v>
      </c>
      <c r="AE75" s="191">
        <v>0</v>
      </c>
      <c r="AF75" s="191">
        <v>0</v>
      </c>
      <c r="AG75" s="191">
        <v>0</v>
      </c>
      <c r="AH75" s="191">
        <v>0</v>
      </c>
      <c r="AI75" s="191">
        <v>0</v>
      </c>
      <c r="AJ75" s="191">
        <v>0</v>
      </c>
      <c r="AK75" s="191">
        <v>0</v>
      </c>
      <c r="AL75" s="191">
        <v>0</v>
      </c>
      <c r="AM75" s="191">
        <v>0</v>
      </c>
      <c r="AN75" s="191">
        <v>0</v>
      </c>
      <c r="AO75" s="191">
        <v>0</v>
      </c>
      <c r="AP75" s="191">
        <v>0</v>
      </c>
      <c r="AQ75" s="191">
        <v>0</v>
      </c>
      <c r="AR75" s="191">
        <v>0</v>
      </c>
      <c r="AS75" s="191">
        <v>0</v>
      </c>
      <c r="AT75" s="191">
        <v>0</v>
      </c>
      <c r="AU75" s="191">
        <v>0</v>
      </c>
      <c r="AV75" s="191">
        <v>0</v>
      </c>
    </row>
    <row r="76" spans="2:48" ht="15.6" customHeight="1" outlineLevel="1">
      <c r="B76" s="264"/>
      <c r="C76" s="266"/>
      <c r="D76" s="169" t="s">
        <v>340</v>
      </c>
      <c r="E76" s="199" t="e" cm="1">
        <f t="array" aca="1" ref="E76" ca="1">AVERAGE(_xlfn._xlws.FILTER(G76:AV76, $G$3:$AV$3 &lt;= $E$2))</f>
        <v>#NAME?</v>
      </c>
      <c r="F76" s="188"/>
      <c r="G76" s="191">
        <v>2937</v>
      </c>
      <c r="H76" s="191">
        <v>2937</v>
      </c>
      <c r="I76" s="191">
        <v>2937</v>
      </c>
      <c r="J76" s="191">
        <v>2937</v>
      </c>
      <c r="K76" s="191">
        <v>2937</v>
      </c>
      <c r="L76" s="191">
        <v>2937</v>
      </c>
      <c r="M76" s="191">
        <v>0</v>
      </c>
      <c r="N76" s="191">
        <v>0</v>
      </c>
      <c r="O76" s="191">
        <v>0</v>
      </c>
      <c r="P76" s="191">
        <v>0</v>
      </c>
      <c r="Q76" s="191">
        <v>0</v>
      </c>
      <c r="R76" s="191">
        <v>0</v>
      </c>
      <c r="S76" s="191">
        <v>0</v>
      </c>
      <c r="T76" s="191">
        <v>0</v>
      </c>
      <c r="U76" s="191">
        <v>0</v>
      </c>
      <c r="V76" s="191">
        <v>0</v>
      </c>
      <c r="W76" s="191">
        <v>0</v>
      </c>
      <c r="X76" s="191">
        <v>0</v>
      </c>
      <c r="Y76" s="191">
        <v>0</v>
      </c>
      <c r="Z76" s="191">
        <v>0</v>
      </c>
      <c r="AA76" s="191">
        <v>0</v>
      </c>
      <c r="AB76" s="191">
        <v>0</v>
      </c>
      <c r="AC76" s="191">
        <v>0</v>
      </c>
      <c r="AD76" s="191">
        <v>0</v>
      </c>
      <c r="AE76" s="191">
        <v>0</v>
      </c>
      <c r="AF76" s="191">
        <v>0</v>
      </c>
      <c r="AG76" s="191">
        <v>0</v>
      </c>
      <c r="AH76" s="191">
        <v>0</v>
      </c>
      <c r="AI76" s="191">
        <v>0</v>
      </c>
      <c r="AJ76" s="191">
        <v>0</v>
      </c>
      <c r="AK76" s="191">
        <v>0</v>
      </c>
      <c r="AL76" s="191">
        <v>0</v>
      </c>
      <c r="AM76" s="191">
        <v>0</v>
      </c>
      <c r="AN76" s="191">
        <v>0</v>
      </c>
      <c r="AO76" s="191">
        <v>0</v>
      </c>
      <c r="AP76" s="191">
        <v>0</v>
      </c>
      <c r="AQ76" s="191">
        <v>0</v>
      </c>
      <c r="AR76" s="191">
        <v>0</v>
      </c>
      <c r="AS76" s="191">
        <v>0</v>
      </c>
      <c r="AT76" s="191">
        <v>0</v>
      </c>
      <c r="AU76" s="191">
        <v>0</v>
      </c>
      <c r="AV76" s="191">
        <v>0</v>
      </c>
    </row>
    <row r="77" spans="2:48" ht="15.6" customHeight="1" outlineLevel="1">
      <c r="B77" s="264"/>
      <c r="C77" s="266"/>
      <c r="D77" s="169" t="s">
        <v>341</v>
      </c>
      <c r="E77" s="199" t="e" cm="1">
        <f t="array" aca="1" ref="E77" ca="1">AVERAGE(_xlfn._xlws.FILTER(G77:AV77, $G$3:$AV$3 &lt;= $E$2))</f>
        <v>#NAME?</v>
      </c>
      <c r="F77" s="188"/>
      <c r="G77" s="191">
        <v>7800</v>
      </c>
      <c r="H77" s="191">
        <v>7800</v>
      </c>
      <c r="I77" s="191">
        <v>7800</v>
      </c>
      <c r="J77" s="191">
        <v>7800</v>
      </c>
      <c r="K77" s="191">
        <v>7800</v>
      </c>
      <c r="L77" s="191">
        <v>7800</v>
      </c>
      <c r="M77" s="191">
        <v>7800</v>
      </c>
      <c r="N77" s="191">
        <v>7800</v>
      </c>
      <c r="O77" s="191">
        <v>7800</v>
      </c>
      <c r="P77" s="191">
        <v>0</v>
      </c>
      <c r="Q77" s="191">
        <v>0</v>
      </c>
      <c r="R77" s="191">
        <v>0</v>
      </c>
      <c r="S77" s="191">
        <v>0</v>
      </c>
      <c r="T77" s="191">
        <v>0</v>
      </c>
      <c r="U77" s="191">
        <v>0</v>
      </c>
      <c r="V77" s="191">
        <v>0</v>
      </c>
      <c r="W77" s="191">
        <v>0</v>
      </c>
      <c r="X77" s="191">
        <v>0</v>
      </c>
      <c r="Y77" s="191">
        <v>0</v>
      </c>
      <c r="Z77" s="191">
        <v>0</v>
      </c>
      <c r="AA77" s="191">
        <v>0</v>
      </c>
      <c r="AB77" s="191">
        <v>0</v>
      </c>
      <c r="AC77" s="191">
        <v>0</v>
      </c>
      <c r="AD77" s="191">
        <v>0</v>
      </c>
      <c r="AE77" s="191">
        <v>0</v>
      </c>
      <c r="AF77" s="191">
        <v>0</v>
      </c>
      <c r="AG77" s="191">
        <v>0</v>
      </c>
      <c r="AH77" s="191">
        <v>0</v>
      </c>
      <c r="AI77" s="191">
        <v>0</v>
      </c>
      <c r="AJ77" s="191">
        <v>0</v>
      </c>
      <c r="AK77" s="191">
        <v>0</v>
      </c>
      <c r="AL77" s="191">
        <v>0</v>
      </c>
      <c r="AM77" s="191">
        <v>0</v>
      </c>
      <c r="AN77" s="191">
        <v>0</v>
      </c>
      <c r="AO77" s="191">
        <v>0</v>
      </c>
      <c r="AP77" s="191">
        <v>0</v>
      </c>
      <c r="AQ77" s="191">
        <v>0</v>
      </c>
      <c r="AR77" s="191">
        <v>0</v>
      </c>
      <c r="AS77" s="191">
        <v>0</v>
      </c>
      <c r="AT77" s="191">
        <v>0</v>
      </c>
      <c r="AU77" s="191">
        <v>0</v>
      </c>
      <c r="AV77" s="191">
        <v>0</v>
      </c>
    </row>
    <row r="78" spans="2:48" ht="15.6" customHeight="1" outlineLevel="1">
      <c r="B78" s="264"/>
      <c r="C78" s="266"/>
      <c r="D78" s="170" t="s">
        <v>78</v>
      </c>
      <c r="E78" s="199" t="e" cm="1">
        <f t="array" aca="1" ref="E78" ca="1">AVERAGE(_xlfn._xlws.FILTER(G78:AV78, $G$3:$AV$3 &lt;= $E$2))</f>
        <v>#NAME?</v>
      </c>
      <c r="F78" s="188"/>
      <c r="G78" s="191">
        <v>23128</v>
      </c>
      <c r="H78" s="191">
        <v>23128</v>
      </c>
      <c r="I78" s="191">
        <v>23128</v>
      </c>
      <c r="J78" s="191">
        <v>23128</v>
      </c>
      <c r="K78" s="191">
        <v>23128</v>
      </c>
      <c r="L78" s="191">
        <v>23128</v>
      </c>
      <c r="M78" s="191">
        <v>23128</v>
      </c>
      <c r="N78" s="191">
        <v>23128</v>
      </c>
      <c r="O78" s="191">
        <v>23128</v>
      </c>
      <c r="P78" s="191">
        <v>23128</v>
      </c>
      <c r="Q78" s="191">
        <v>23128</v>
      </c>
      <c r="R78" s="191">
        <v>23128</v>
      </c>
      <c r="S78" s="191">
        <v>23128</v>
      </c>
      <c r="T78" s="191">
        <v>23128</v>
      </c>
      <c r="U78" s="191">
        <v>23128</v>
      </c>
      <c r="V78" s="191">
        <v>23128</v>
      </c>
      <c r="W78" s="191">
        <v>23128</v>
      </c>
      <c r="X78" s="191">
        <v>23128</v>
      </c>
      <c r="Y78" s="191">
        <v>23128</v>
      </c>
      <c r="Z78" s="191">
        <v>23128</v>
      </c>
      <c r="AA78" s="191">
        <v>23128</v>
      </c>
      <c r="AB78" s="191">
        <v>23128</v>
      </c>
      <c r="AC78" s="191">
        <v>23128</v>
      </c>
      <c r="AD78" s="191">
        <v>23128</v>
      </c>
      <c r="AE78" s="191">
        <v>23128</v>
      </c>
      <c r="AF78" s="191">
        <v>23128</v>
      </c>
      <c r="AG78" s="191">
        <v>23128</v>
      </c>
      <c r="AH78" s="191">
        <v>23128</v>
      </c>
      <c r="AI78" s="191">
        <v>23128</v>
      </c>
      <c r="AJ78" s="191">
        <v>23128</v>
      </c>
      <c r="AK78" s="191">
        <v>23128</v>
      </c>
      <c r="AL78" s="191">
        <v>23128</v>
      </c>
      <c r="AM78" s="191">
        <v>23128</v>
      </c>
      <c r="AN78" s="191">
        <v>23128</v>
      </c>
      <c r="AO78" s="191">
        <v>23129</v>
      </c>
      <c r="AP78" s="191">
        <v>23130</v>
      </c>
      <c r="AQ78" s="191">
        <v>23131</v>
      </c>
      <c r="AR78" s="191">
        <v>23132</v>
      </c>
      <c r="AS78" s="191">
        <v>23133</v>
      </c>
      <c r="AT78" s="191">
        <v>23134</v>
      </c>
      <c r="AU78" s="191">
        <v>23135</v>
      </c>
      <c r="AV78" s="191">
        <v>23136</v>
      </c>
    </row>
    <row r="79" spans="2:48" ht="15.6" customHeight="1" outlineLevel="1">
      <c r="B79" s="264"/>
      <c r="C79" s="266"/>
      <c r="D79" s="169" t="s">
        <v>346</v>
      </c>
      <c r="E79" s="199" t="e" cm="1">
        <f t="array" aca="1" ref="E79" ca="1">AVERAGE(_xlfn._xlws.FILTER(G79:AV79, $G$3:$AV$3 &lt;= $E$2))</f>
        <v>#NAME?</v>
      </c>
      <c r="F79" s="188"/>
      <c r="G79" s="191">
        <v>7260</v>
      </c>
      <c r="H79" s="191">
        <v>7260</v>
      </c>
      <c r="I79" s="191">
        <v>7260</v>
      </c>
      <c r="J79" s="191">
        <v>7260</v>
      </c>
      <c r="K79" s="191">
        <v>7260</v>
      </c>
      <c r="L79" s="191">
        <v>7260</v>
      </c>
      <c r="M79" s="191">
        <v>7260</v>
      </c>
      <c r="N79" s="191">
        <v>7260</v>
      </c>
      <c r="O79" s="191">
        <v>7260</v>
      </c>
      <c r="P79" s="191">
        <v>7260</v>
      </c>
      <c r="Q79" s="191">
        <v>7260</v>
      </c>
      <c r="R79" s="191">
        <v>7260</v>
      </c>
      <c r="S79" s="191">
        <v>7260</v>
      </c>
      <c r="T79" s="191">
        <v>7260</v>
      </c>
      <c r="U79" s="191">
        <v>7260</v>
      </c>
      <c r="V79" s="191">
        <v>7260</v>
      </c>
      <c r="W79" s="191">
        <v>7260</v>
      </c>
      <c r="X79" s="191">
        <v>7260</v>
      </c>
      <c r="Y79" s="191">
        <v>7260</v>
      </c>
      <c r="Z79" s="191">
        <v>7260</v>
      </c>
      <c r="AA79" s="191">
        <v>7260</v>
      </c>
      <c r="AB79" s="191">
        <v>7260</v>
      </c>
      <c r="AC79" s="191">
        <v>7260</v>
      </c>
      <c r="AD79" s="191">
        <v>7260</v>
      </c>
      <c r="AE79" s="191">
        <v>7260</v>
      </c>
      <c r="AF79" s="191">
        <v>7260</v>
      </c>
      <c r="AG79" s="191">
        <v>7260</v>
      </c>
      <c r="AH79" s="191">
        <v>7260</v>
      </c>
      <c r="AI79" s="191">
        <v>7260</v>
      </c>
      <c r="AJ79" s="191">
        <v>0</v>
      </c>
      <c r="AK79" s="191">
        <v>0</v>
      </c>
      <c r="AL79" s="191">
        <v>0</v>
      </c>
      <c r="AM79" s="191">
        <v>0</v>
      </c>
      <c r="AN79" s="191">
        <v>0</v>
      </c>
      <c r="AO79" s="191">
        <v>0</v>
      </c>
      <c r="AP79" s="191">
        <v>0</v>
      </c>
      <c r="AQ79" s="191">
        <v>0</v>
      </c>
      <c r="AR79" s="191">
        <v>0</v>
      </c>
      <c r="AS79" s="191">
        <v>0</v>
      </c>
      <c r="AT79" s="191">
        <v>0</v>
      </c>
      <c r="AU79" s="191">
        <v>0</v>
      </c>
      <c r="AV79" s="191">
        <v>0</v>
      </c>
    </row>
    <row r="80" spans="2:48" ht="15.6" customHeight="1" outlineLevel="1">
      <c r="B80" s="264"/>
      <c r="C80" s="266"/>
      <c r="D80" s="167"/>
      <c r="E80" s="199" t="e" cm="1">
        <f t="array" aca="1" ref="E80" ca="1">AVERAGE(_xlfn._xlws.FILTER(G80:AV80, $G$3:$AV$3 &lt;= $E$2))</f>
        <v>#NAME?</v>
      </c>
      <c r="F80" s="188"/>
      <c r="G80" s="191">
        <v>0</v>
      </c>
      <c r="H80" s="191">
        <v>0</v>
      </c>
      <c r="I80" s="191">
        <v>0</v>
      </c>
      <c r="J80" s="191">
        <v>0</v>
      </c>
      <c r="K80" s="191">
        <v>0</v>
      </c>
      <c r="L80" s="191">
        <v>0</v>
      </c>
      <c r="M80" s="191">
        <v>0</v>
      </c>
      <c r="N80" s="191">
        <v>0</v>
      </c>
      <c r="O80" s="191">
        <v>0</v>
      </c>
      <c r="P80" s="191">
        <v>0</v>
      </c>
      <c r="Q80" s="191">
        <v>0</v>
      </c>
      <c r="R80" s="191">
        <v>0</v>
      </c>
      <c r="S80" s="191">
        <v>0</v>
      </c>
      <c r="T80" s="191">
        <v>0</v>
      </c>
      <c r="U80" s="191">
        <v>0</v>
      </c>
      <c r="V80" s="191">
        <v>0</v>
      </c>
      <c r="W80" s="191">
        <v>0</v>
      </c>
      <c r="X80" s="191">
        <v>0</v>
      </c>
      <c r="Y80" s="191">
        <v>0</v>
      </c>
      <c r="Z80" s="191">
        <v>0</v>
      </c>
      <c r="AA80" s="191">
        <v>0</v>
      </c>
      <c r="AB80" s="191">
        <v>0</v>
      </c>
      <c r="AC80" s="191">
        <v>0</v>
      </c>
      <c r="AD80" s="191">
        <v>0</v>
      </c>
      <c r="AE80" s="191">
        <v>0</v>
      </c>
      <c r="AF80" s="191">
        <v>0</v>
      </c>
      <c r="AG80" s="191">
        <v>0</v>
      </c>
      <c r="AH80" s="191">
        <v>0</v>
      </c>
      <c r="AI80" s="191">
        <v>0</v>
      </c>
      <c r="AJ80" s="191">
        <v>0</v>
      </c>
      <c r="AK80" s="191">
        <v>0</v>
      </c>
      <c r="AL80" s="191">
        <v>0</v>
      </c>
      <c r="AM80" s="191">
        <v>0</v>
      </c>
      <c r="AN80" s="191">
        <v>0</v>
      </c>
      <c r="AO80" s="191">
        <v>0</v>
      </c>
      <c r="AP80" s="191">
        <v>0</v>
      </c>
      <c r="AQ80" s="191">
        <v>0</v>
      </c>
      <c r="AR80" s="191">
        <v>0</v>
      </c>
      <c r="AS80" s="191">
        <v>0</v>
      </c>
      <c r="AT80" s="191">
        <v>0</v>
      </c>
      <c r="AU80" s="191">
        <v>0</v>
      </c>
      <c r="AV80" s="191">
        <v>0</v>
      </c>
    </row>
    <row r="81" spans="2:48">
      <c r="B81" s="264"/>
      <c r="C81" s="266"/>
      <c r="D81" s="219" t="s">
        <v>412</v>
      </c>
      <c r="E81" s="220" t="e" cm="1">
        <f t="array" aca="1" ref="E81" ca="1">AVERAGE(_xlfn._xlws.FILTER(G81:AV81, $G$3:$AV$3 &lt;= $E$2))</f>
        <v>#NAME?</v>
      </c>
      <c r="F81" s="221"/>
      <c r="G81" s="222">
        <v>0</v>
      </c>
      <c r="H81" s="222">
        <v>0</v>
      </c>
      <c r="I81" s="222">
        <f>SUM(I82:I86)</f>
        <v>0</v>
      </c>
      <c r="J81" s="222">
        <v>0</v>
      </c>
      <c r="K81" s="222">
        <v>0</v>
      </c>
      <c r="L81" s="222">
        <v>0</v>
      </c>
      <c r="M81" s="222">
        <v>0</v>
      </c>
      <c r="N81" s="222">
        <v>0</v>
      </c>
      <c r="O81" s="222">
        <v>0</v>
      </c>
      <c r="P81" s="222">
        <v>0</v>
      </c>
      <c r="Q81" s="222">
        <v>0</v>
      </c>
      <c r="R81" s="222">
        <v>0</v>
      </c>
      <c r="S81" s="222">
        <v>0</v>
      </c>
      <c r="T81" s="224">
        <v>0</v>
      </c>
      <c r="U81" s="224">
        <v>0</v>
      </c>
      <c r="V81" s="224">
        <v>0</v>
      </c>
      <c r="W81" s="224">
        <v>0</v>
      </c>
      <c r="X81" s="224">
        <v>0</v>
      </c>
      <c r="Y81" s="224">
        <v>0</v>
      </c>
      <c r="Z81" s="224">
        <v>0</v>
      </c>
      <c r="AA81" s="224">
        <v>0</v>
      </c>
      <c r="AB81" s="224">
        <v>0</v>
      </c>
      <c r="AC81" s="224">
        <v>0</v>
      </c>
      <c r="AD81" s="224">
        <v>0</v>
      </c>
      <c r="AE81" s="224">
        <v>0</v>
      </c>
      <c r="AF81" s="224">
        <v>0</v>
      </c>
      <c r="AG81" s="224">
        <v>0</v>
      </c>
      <c r="AH81" s="224">
        <v>0</v>
      </c>
      <c r="AI81" s="224">
        <v>0</v>
      </c>
      <c r="AJ81" s="224">
        <v>0</v>
      </c>
      <c r="AK81" s="224">
        <v>0</v>
      </c>
      <c r="AL81" s="224">
        <v>0</v>
      </c>
      <c r="AM81" s="224">
        <v>0</v>
      </c>
      <c r="AN81" s="224">
        <v>0</v>
      </c>
      <c r="AO81" s="224">
        <v>0</v>
      </c>
      <c r="AP81" s="224">
        <v>0</v>
      </c>
      <c r="AQ81" s="224">
        <v>0</v>
      </c>
      <c r="AR81" s="224">
        <v>0</v>
      </c>
      <c r="AS81" s="224">
        <v>0</v>
      </c>
      <c r="AT81" s="224">
        <v>0</v>
      </c>
      <c r="AU81" s="224">
        <v>0</v>
      </c>
      <c r="AV81" s="224">
        <v>0</v>
      </c>
    </row>
    <row r="82" spans="2:48" ht="15.6" customHeight="1" outlineLevel="1">
      <c r="B82" s="264"/>
      <c r="C82" s="266"/>
      <c r="D82" s="167" t="s">
        <v>413</v>
      </c>
      <c r="E82" s="199" t="e" cm="1">
        <f t="array" aca="1" ref="E82" ca="1">AVERAGE(_xlfn._xlws.FILTER(G82:AV82, $G$3:$AV$3 &lt;= $E$2))</f>
        <v>#NAME?</v>
      </c>
      <c r="F82" s="188"/>
      <c r="G82" s="191">
        <v>0</v>
      </c>
      <c r="H82" s="191">
        <v>0</v>
      </c>
      <c r="I82" s="191">
        <v>0</v>
      </c>
      <c r="J82" s="191">
        <v>0</v>
      </c>
      <c r="K82" s="191">
        <v>0</v>
      </c>
      <c r="L82" s="191">
        <v>0</v>
      </c>
      <c r="M82" s="191">
        <v>0</v>
      </c>
      <c r="N82" s="191">
        <v>0</v>
      </c>
      <c r="O82" s="191">
        <v>0</v>
      </c>
      <c r="P82" s="191">
        <v>0</v>
      </c>
      <c r="Q82" s="191">
        <v>0</v>
      </c>
      <c r="R82" s="191">
        <v>0</v>
      </c>
      <c r="S82" s="191">
        <v>0</v>
      </c>
      <c r="T82" s="191">
        <v>0</v>
      </c>
      <c r="U82" s="191">
        <v>0</v>
      </c>
      <c r="V82" s="191">
        <v>0</v>
      </c>
      <c r="W82" s="191">
        <v>0</v>
      </c>
      <c r="X82" s="191">
        <v>0</v>
      </c>
      <c r="Y82" s="191">
        <v>0</v>
      </c>
      <c r="Z82" s="191">
        <v>0</v>
      </c>
      <c r="AA82" s="191">
        <v>0</v>
      </c>
      <c r="AB82" s="191">
        <v>0</v>
      </c>
      <c r="AC82" s="191">
        <v>0</v>
      </c>
      <c r="AD82" s="191">
        <v>0</v>
      </c>
      <c r="AE82" s="191">
        <v>0</v>
      </c>
      <c r="AF82" s="191">
        <v>0</v>
      </c>
      <c r="AG82" s="191">
        <v>0</v>
      </c>
      <c r="AH82" s="191">
        <v>0</v>
      </c>
      <c r="AI82" s="191">
        <v>0</v>
      </c>
      <c r="AJ82" s="191">
        <v>0</v>
      </c>
      <c r="AK82" s="191">
        <v>0</v>
      </c>
      <c r="AL82" s="191">
        <v>0</v>
      </c>
      <c r="AM82" s="191">
        <v>0</v>
      </c>
      <c r="AN82" s="191">
        <v>0</v>
      </c>
      <c r="AO82" s="191">
        <v>0</v>
      </c>
      <c r="AP82" s="191">
        <v>0</v>
      </c>
      <c r="AQ82" s="191">
        <v>0</v>
      </c>
      <c r="AR82" s="191">
        <v>0</v>
      </c>
      <c r="AS82" s="191">
        <v>0</v>
      </c>
      <c r="AT82" s="191">
        <v>0</v>
      </c>
      <c r="AU82" s="191">
        <v>0</v>
      </c>
      <c r="AV82" s="191">
        <v>0</v>
      </c>
    </row>
    <row r="83" spans="2:48" ht="15.6" customHeight="1" outlineLevel="1">
      <c r="B83" s="264"/>
      <c r="C83" s="266"/>
      <c r="D83" s="167" t="s">
        <v>414</v>
      </c>
      <c r="E83" s="199" t="e" cm="1">
        <f t="array" aca="1" ref="E83" ca="1">AVERAGE(_xlfn._xlws.FILTER(G83:AV83, $G$3:$AV$3 &lt;= $E$2))</f>
        <v>#NAME?</v>
      </c>
      <c r="F83" s="188"/>
      <c r="G83" s="191">
        <v>0</v>
      </c>
      <c r="H83" s="191">
        <v>0</v>
      </c>
      <c r="I83" s="191">
        <v>0</v>
      </c>
      <c r="J83" s="191">
        <v>0</v>
      </c>
      <c r="K83" s="191">
        <v>0</v>
      </c>
      <c r="L83" s="191">
        <v>0</v>
      </c>
      <c r="M83" s="191">
        <v>0</v>
      </c>
      <c r="N83" s="191">
        <v>0</v>
      </c>
      <c r="O83" s="191">
        <v>0</v>
      </c>
      <c r="P83" s="191">
        <v>0</v>
      </c>
      <c r="Q83" s="191">
        <v>0</v>
      </c>
      <c r="R83" s="191">
        <v>0</v>
      </c>
      <c r="S83" s="191">
        <v>0</v>
      </c>
      <c r="T83" s="191">
        <v>0</v>
      </c>
      <c r="U83" s="191">
        <v>0</v>
      </c>
      <c r="V83" s="191">
        <v>0</v>
      </c>
      <c r="W83" s="191">
        <v>0</v>
      </c>
      <c r="X83" s="191">
        <v>0</v>
      </c>
      <c r="Y83" s="191">
        <v>0</v>
      </c>
      <c r="Z83" s="191">
        <v>0</v>
      </c>
      <c r="AA83" s="191">
        <v>0</v>
      </c>
      <c r="AB83" s="191">
        <v>0</v>
      </c>
      <c r="AC83" s="191">
        <v>0</v>
      </c>
      <c r="AD83" s="191">
        <v>0</v>
      </c>
      <c r="AE83" s="191">
        <v>0</v>
      </c>
      <c r="AF83" s="191">
        <v>0</v>
      </c>
      <c r="AG83" s="191">
        <v>0</v>
      </c>
      <c r="AH83" s="191">
        <v>0</v>
      </c>
      <c r="AI83" s="191">
        <v>0</v>
      </c>
      <c r="AJ83" s="191">
        <v>0</v>
      </c>
      <c r="AK83" s="191">
        <v>0</v>
      </c>
      <c r="AL83" s="191">
        <v>0</v>
      </c>
      <c r="AM83" s="191">
        <v>0</v>
      </c>
      <c r="AN83" s="191">
        <v>0</v>
      </c>
      <c r="AO83" s="191">
        <v>0</v>
      </c>
      <c r="AP83" s="191">
        <v>0</v>
      </c>
      <c r="AQ83" s="191">
        <v>0</v>
      </c>
      <c r="AR83" s="191">
        <v>0</v>
      </c>
      <c r="AS83" s="191">
        <v>0</v>
      </c>
      <c r="AT83" s="191">
        <v>0</v>
      </c>
      <c r="AU83" s="191">
        <v>0</v>
      </c>
      <c r="AV83" s="191">
        <v>0</v>
      </c>
    </row>
    <row r="84" spans="2:48" ht="15.6" customHeight="1" outlineLevel="1">
      <c r="B84" s="264"/>
      <c r="C84" s="266"/>
      <c r="D84" s="167" t="s">
        <v>415</v>
      </c>
      <c r="E84" s="199" t="e" cm="1">
        <f t="array" aca="1" ref="E84" ca="1">AVERAGE(_xlfn._xlws.FILTER(G84:AV84, $G$3:$AV$3 &lt;= $E$2))</f>
        <v>#NAME?</v>
      </c>
      <c r="F84" s="188"/>
      <c r="G84" s="191">
        <v>0</v>
      </c>
      <c r="H84" s="191">
        <v>0</v>
      </c>
      <c r="I84" s="191">
        <v>0</v>
      </c>
      <c r="J84" s="191">
        <v>0</v>
      </c>
      <c r="K84" s="191">
        <v>0</v>
      </c>
      <c r="L84" s="191">
        <v>0</v>
      </c>
      <c r="M84" s="191">
        <v>0</v>
      </c>
      <c r="N84" s="191">
        <v>0</v>
      </c>
      <c r="O84" s="191">
        <v>0</v>
      </c>
      <c r="P84" s="191">
        <v>0</v>
      </c>
      <c r="Q84" s="191">
        <v>0</v>
      </c>
      <c r="R84" s="191">
        <v>0</v>
      </c>
      <c r="S84" s="191">
        <v>0</v>
      </c>
      <c r="T84" s="191">
        <v>0</v>
      </c>
      <c r="U84" s="191">
        <v>0</v>
      </c>
      <c r="V84" s="191">
        <v>0</v>
      </c>
      <c r="W84" s="191">
        <v>0</v>
      </c>
      <c r="X84" s="191">
        <v>0</v>
      </c>
      <c r="Y84" s="191">
        <v>0</v>
      </c>
      <c r="Z84" s="191">
        <v>0</v>
      </c>
      <c r="AA84" s="191">
        <v>0</v>
      </c>
      <c r="AB84" s="191">
        <v>0</v>
      </c>
      <c r="AC84" s="191">
        <v>0</v>
      </c>
      <c r="AD84" s="191">
        <v>0</v>
      </c>
      <c r="AE84" s="191">
        <v>0</v>
      </c>
      <c r="AF84" s="191">
        <v>0</v>
      </c>
      <c r="AG84" s="191">
        <v>0</v>
      </c>
      <c r="AH84" s="191">
        <v>0</v>
      </c>
      <c r="AI84" s="191">
        <v>0</v>
      </c>
      <c r="AJ84" s="191">
        <v>0</v>
      </c>
      <c r="AK84" s="191">
        <v>0</v>
      </c>
      <c r="AL84" s="191">
        <v>0</v>
      </c>
      <c r="AM84" s="191">
        <v>0</v>
      </c>
      <c r="AN84" s="191">
        <v>0</v>
      </c>
      <c r="AO84" s="191">
        <v>0</v>
      </c>
      <c r="AP84" s="191">
        <v>0</v>
      </c>
      <c r="AQ84" s="191">
        <v>0</v>
      </c>
      <c r="AR84" s="191">
        <v>0</v>
      </c>
      <c r="AS84" s="191">
        <v>0</v>
      </c>
      <c r="AT84" s="191">
        <v>0</v>
      </c>
      <c r="AU84" s="191">
        <v>0</v>
      </c>
      <c r="AV84" s="191">
        <v>0</v>
      </c>
    </row>
    <row r="85" spans="2:48" ht="15.6" customHeight="1" outlineLevel="1">
      <c r="B85" s="264"/>
      <c r="C85" s="266"/>
      <c r="D85" s="167" t="s">
        <v>378</v>
      </c>
      <c r="E85" s="199" t="e" cm="1">
        <f t="array" aca="1" ref="E85" ca="1">AVERAGE(_xlfn._xlws.FILTER(G85:AV85, $G$3:$AV$3 &lt;= $E$2))</f>
        <v>#NAME?</v>
      </c>
      <c r="F85" s="188"/>
      <c r="G85" s="191">
        <v>0</v>
      </c>
      <c r="H85" s="191">
        <v>0</v>
      </c>
      <c r="I85" s="191">
        <v>0</v>
      </c>
      <c r="J85" s="191">
        <v>0</v>
      </c>
      <c r="K85" s="191">
        <v>0</v>
      </c>
      <c r="L85" s="191">
        <v>0</v>
      </c>
      <c r="M85" s="191">
        <v>0</v>
      </c>
      <c r="N85" s="191">
        <v>0</v>
      </c>
      <c r="O85" s="191">
        <v>0</v>
      </c>
      <c r="P85" s="191">
        <v>0</v>
      </c>
      <c r="Q85" s="191">
        <v>0</v>
      </c>
      <c r="R85" s="191">
        <v>0</v>
      </c>
      <c r="S85" s="191">
        <v>0</v>
      </c>
      <c r="T85" s="191">
        <v>0</v>
      </c>
      <c r="U85" s="191">
        <v>0</v>
      </c>
      <c r="V85" s="191">
        <v>0</v>
      </c>
      <c r="W85" s="191">
        <v>0</v>
      </c>
      <c r="X85" s="191">
        <v>0</v>
      </c>
      <c r="Y85" s="191">
        <v>0</v>
      </c>
      <c r="Z85" s="191">
        <v>0</v>
      </c>
      <c r="AA85" s="191">
        <v>0</v>
      </c>
      <c r="AB85" s="191">
        <v>0</v>
      </c>
      <c r="AC85" s="191">
        <v>0</v>
      </c>
      <c r="AD85" s="191">
        <v>0</v>
      </c>
      <c r="AE85" s="191">
        <v>0</v>
      </c>
      <c r="AF85" s="191">
        <v>0</v>
      </c>
      <c r="AG85" s="191">
        <v>0</v>
      </c>
      <c r="AH85" s="191">
        <v>0</v>
      </c>
      <c r="AI85" s="191">
        <v>0</v>
      </c>
      <c r="AJ85" s="191">
        <v>0</v>
      </c>
      <c r="AK85" s="191">
        <v>0</v>
      </c>
      <c r="AL85" s="191">
        <v>0</v>
      </c>
      <c r="AM85" s="191">
        <v>0</v>
      </c>
      <c r="AN85" s="191">
        <v>0</v>
      </c>
      <c r="AO85" s="191">
        <v>0</v>
      </c>
      <c r="AP85" s="191">
        <v>0</v>
      </c>
      <c r="AQ85" s="191">
        <v>0</v>
      </c>
      <c r="AR85" s="191">
        <v>0</v>
      </c>
      <c r="AS85" s="191">
        <v>0</v>
      </c>
      <c r="AT85" s="191">
        <v>0</v>
      </c>
      <c r="AU85" s="191">
        <v>0</v>
      </c>
      <c r="AV85" s="191">
        <v>0</v>
      </c>
    </row>
    <row r="86" spans="2:48" ht="15.6" customHeight="1" outlineLevel="1">
      <c r="B86" s="264"/>
      <c r="C86" s="266"/>
      <c r="D86" s="167"/>
      <c r="E86" s="199" t="e" cm="1">
        <f t="array" aca="1" ref="E86" ca="1">AVERAGE(_xlfn._xlws.FILTER(G86:AV86, $G$3:$AV$3 &lt;= $E$2))</f>
        <v>#NAME?</v>
      </c>
      <c r="F86" s="188"/>
      <c r="G86" s="191">
        <v>0</v>
      </c>
      <c r="H86" s="191">
        <v>0</v>
      </c>
      <c r="I86" s="191">
        <v>0</v>
      </c>
      <c r="J86" s="191">
        <v>0</v>
      </c>
      <c r="K86" s="191">
        <v>0</v>
      </c>
      <c r="L86" s="191">
        <v>0</v>
      </c>
      <c r="M86" s="191">
        <v>0</v>
      </c>
      <c r="N86" s="191">
        <v>0</v>
      </c>
      <c r="O86" s="191">
        <v>0</v>
      </c>
      <c r="P86" s="191">
        <v>0</v>
      </c>
      <c r="Q86" s="191">
        <v>0</v>
      </c>
      <c r="R86" s="191">
        <v>0</v>
      </c>
      <c r="S86" s="191">
        <v>0</v>
      </c>
      <c r="T86" s="191">
        <v>0</v>
      </c>
      <c r="U86" s="191">
        <v>0</v>
      </c>
      <c r="V86" s="191">
        <v>0</v>
      </c>
      <c r="W86" s="191">
        <v>0</v>
      </c>
      <c r="X86" s="191">
        <v>0</v>
      </c>
      <c r="Y86" s="191">
        <v>0</v>
      </c>
      <c r="Z86" s="191">
        <v>0</v>
      </c>
      <c r="AA86" s="191">
        <v>0</v>
      </c>
      <c r="AB86" s="191">
        <v>0</v>
      </c>
      <c r="AC86" s="191">
        <v>0</v>
      </c>
      <c r="AD86" s="191">
        <v>0</v>
      </c>
      <c r="AE86" s="191">
        <v>0</v>
      </c>
      <c r="AF86" s="191">
        <v>0</v>
      </c>
      <c r="AG86" s="191">
        <v>0</v>
      </c>
      <c r="AH86" s="191">
        <v>0</v>
      </c>
      <c r="AI86" s="191">
        <v>0</v>
      </c>
      <c r="AJ86" s="191">
        <v>0</v>
      </c>
      <c r="AK86" s="191">
        <v>0</v>
      </c>
      <c r="AL86" s="191">
        <v>0</v>
      </c>
      <c r="AM86" s="191">
        <v>0</v>
      </c>
      <c r="AN86" s="191">
        <v>0</v>
      </c>
      <c r="AO86" s="191">
        <v>0</v>
      </c>
      <c r="AP86" s="191">
        <v>0</v>
      </c>
      <c r="AQ86" s="191">
        <v>0</v>
      </c>
      <c r="AR86" s="191">
        <v>0</v>
      </c>
      <c r="AS86" s="191">
        <v>0</v>
      </c>
      <c r="AT86" s="191">
        <v>0</v>
      </c>
      <c r="AU86" s="191">
        <v>0</v>
      </c>
      <c r="AV86" s="191">
        <v>0</v>
      </c>
    </row>
    <row r="87" spans="2:48">
      <c r="B87" s="264"/>
      <c r="C87" s="266"/>
      <c r="D87" s="219" t="s">
        <v>416</v>
      </c>
      <c r="E87" s="223" t="e" cm="1">
        <f t="array" aca="1" ref="E87" ca="1">AVERAGE(_xlfn._xlws.FILTER(G87:AV87, $G$3:$AV$3 &lt;= $E$2))</f>
        <v>#NAME?</v>
      </c>
      <c r="F87" s="221"/>
      <c r="G87" s="224">
        <v>0</v>
      </c>
      <c r="H87" s="224">
        <v>0</v>
      </c>
      <c r="I87" s="224">
        <f t="shared" ref="I87:AV87" si="16">SUM(I88:I92)</f>
        <v>0</v>
      </c>
      <c r="J87" s="224">
        <f t="shared" si="16"/>
        <v>0</v>
      </c>
      <c r="K87" s="224">
        <f t="shared" si="16"/>
        <v>0</v>
      </c>
      <c r="L87" s="224">
        <f t="shared" si="16"/>
        <v>0</v>
      </c>
      <c r="M87" s="224">
        <f t="shared" si="16"/>
        <v>0</v>
      </c>
      <c r="N87" s="224">
        <f t="shared" si="16"/>
        <v>0</v>
      </c>
      <c r="O87" s="224">
        <f t="shared" si="16"/>
        <v>0</v>
      </c>
      <c r="P87" s="224">
        <f t="shared" si="16"/>
        <v>0</v>
      </c>
      <c r="Q87" s="224">
        <f t="shared" si="16"/>
        <v>0</v>
      </c>
      <c r="R87" s="224">
        <f t="shared" si="16"/>
        <v>0</v>
      </c>
      <c r="S87" s="224">
        <f t="shared" si="16"/>
        <v>0</v>
      </c>
      <c r="T87" s="224">
        <f t="shared" si="16"/>
        <v>0</v>
      </c>
      <c r="U87" s="224">
        <f t="shared" si="16"/>
        <v>0</v>
      </c>
      <c r="V87" s="224">
        <f t="shared" si="16"/>
        <v>0</v>
      </c>
      <c r="W87" s="224">
        <f t="shared" si="16"/>
        <v>0</v>
      </c>
      <c r="X87" s="224">
        <f t="shared" si="16"/>
        <v>0</v>
      </c>
      <c r="Y87" s="224">
        <f t="shared" si="16"/>
        <v>0</v>
      </c>
      <c r="Z87" s="224">
        <f t="shared" si="16"/>
        <v>0</v>
      </c>
      <c r="AA87" s="224">
        <f t="shared" si="16"/>
        <v>0</v>
      </c>
      <c r="AB87" s="224">
        <f t="shared" si="16"/>
        <v>0</v>
      </c>
      <c r="AC87" s="224">
        <f t="shared" si="16"/>
        <v>0</v>
      </c>
      <c r="AD87" s="224">
        <f t="shared" si="16"/>
        <v>0</v>
      </c>
      <c r="AE87" s="224">
        <f t="shared" si="16"/>
        <v>0</v>
      </c>
      <c r="AF87" s="224">
        <f t="shared" si="16"/>
        <v>0</v>
      </c>
      <c r="AG87" s="224">
        <f t="shared" si="16"/>
        <v>0</v>
      </c>
      <c r="AH87" s="224">
        <f t="shared" si="16"/>
        <v>0</v>
      </c>
      <c r="AI87" s="224">
        <f t="shared" si="16"/>
        <v>0</v>
      </c>
      <c r="AJ87" s="224">
        <f t="shared" si="16"/>
        <v>0</v>
      </c>
      <c r="AK87" s="224">
        <f t="shared" si="16"/>
        <v>0</v>
      </c>
      <c r="AL87" s="224">
        <f t="shared" si="16"/>
        <v>0</v>
      </c>
      <c r="AM87" s="224">
        <f t="shared" si="16"/>
        <v>0</v>
      </c>
      <c r="AN87" s="224">
        <f t="shared" si="16"/>
        <v>0</v>
      </c>
      <c r="AO87" s="224">
        <f t="shared" si="16"/>
        <v>0</v>
      </c>
      <c r="AP87" s="224">
        <f t="shared" si="16"/>
        <v>0</v>
      </c>
      <c r="AQ87" s="224">
        <f t="shared" si="16"/>
        <v>0</v>
      </c>
      <c r="AR87" s="224">
        <f t="shared" si="16"/>
        <v>0</v>
      </c>
      <c r="AS87" s="224">
        <f t="shared" si="16"/>
        <v>0</v>
      </c>
      <c r="AT87" s="224">
        <f t="shared" si="16"/>
        <v>0</v>
      </c>
      <c r="AU87" s="224">
        <f t="shared" si="16"/>
        <v>0</v>
      </c>
      <c r="AV87" s="224">
        <f t="shared" si="16"/>
        <v>0</v>
      </c>
    </row>
    <row r="88" spans="2:48" ht="15.6" customHeight="1" outlineLevel="1">
      <c r="B88" s="264"/>
      <c r="C88" s="266"/>
      <c r="D88" s="167" t="s">
        <v>417</v>
      </c>
      <c r="E88" s="199" t="e" cm="1">
        <f t="array" aca="1" ref="E88" ca="1">AVERAGE(_xlfn._xlws.FILTER(G88:AV88, $G$3:$AV$3 &lt;= $E$2))</f>
        <v>#NAME?</v>
      </c>
      <c r="F88" s="188"/>
      <c r="G88" s="191">
        <v>0</v>
      </c>
      <c r="H88" s="191">
        <v>0</v>
      </c>
      <c r="I88" s="191">
        <v>0</v>
      </c>
      <c r="J88" s="191">
        <v>0</v>
      </c>
      <c r="K88" s="191">
        <v>0</v>
      </c>
      <c r="L88" s="191">
        <v>0</v>
      </c>
      <c r="M88" s="191">
        <v>0</v>
      </c>
      <c r="N88" s="191">
        <v>0</v>
      </c>
      <c r="O88" s="191">
        <v>0</v>
      </c>
      <c r="P88" s="191">
        <v>0</v>
      </c>
      <c r="Q88" s="191">
        <v>0</v>
      </c>
      <c r="R88" s="191">
        <v>0</v>
      </c>
      <c r="S88" s="191">
        <v>0</v>
      </c>
      <c r="T88" s="191">
        <v>0</v>
      </c>
      <c r="U88" s="191">
        <v>0</v>
      </c>
      <c r="V88" s="191">
        <v>0</v>
      </c>
      <c r="W88" s="191">
        <v>0</v>
      </c>
      <c r="X88" s="191">
        <v>0</v>
      </c>
      <c r="Y88" s="191">
        <v>0</v>
      </c>
      <c r="Z88" s="191">
        <v>0</v>
      </c>
      <c r="AA88" s="191">
        <v>0</v>
      </c>
      <c r="AB88" s="191">
        <v>0</v>
      </c>
      <c r="AC88" s="191">
        <v>0</v>
      </c>
      <c r="AD88" s="191">
        <v>0</v>
      </c>
      <c r="AE88" s="191">
        <v>0</v>
      </c>
      <c r="AF88" s="191">
        <v>0</v>
      </c>
      <c r="AG88" s="191">
        <v>0</v>
      </c>
      <c r="AH88" s="191">
        <v>0</v>
      </c>
      <c r="AI88" s="191">
        <v>0</v>
      </c>
      <c r="AJ88" s="191">
        <v>0</v>
      </c>
      <c r="AK88" s="191">
        <v>0</v>
      </c>
      <c r="AL88" s="191">
        <v>0</v>
      </c>
      <c r="AM88" s="191">
        <v>0</v>
      </c>
      <c r="AN88" s="191">
        <v>0</v>
      </c>
      <c r="AO88" s="191">
        <v>0</v>
      </c>
      <c r="AP88" s="191">
        <v>0</v>
      </c>
      <c r="AQ88" s="191">
        <v>0</v>
      </c>
      <c r="AR88" s="191">
        <v>0</v>
      </c>
      <c r="AS88" s="191">
        <v>0</v>
      </c>
      <c r="AT88" s="191">
        <v>0</v>
      </c>
      <c r="AU88" s="191">
        <v>0</v>
      </c>
      <c r="AV88" s="191">
        <v>0</v>
      </c>
    </row>
    <row r="89" spans="2:48" ht="15.6" customHeight="1" outlineLevel="1">
      <c r="B89" s="264"/>
      <c r="C89" s="266"/>
      <c r="D89" s="167" t="s">
        <v>418</v>
      </c>
      <c r="E89" s="199" t="e" cm="1">
        <f t="array" aca="1" ref="E89" ca="1">AVERAGE(_xlfn._xlws.FILTER(G89:AV89, $G$3:$AV$3 &lt;= $E$2))</f>
        <v>#NAME?</v>
      </c>
      <c r="F89" s="188"/>
      <c r="G89" s="191">
        <v>0</v>
      </c>
      <c r="H89" s="191">
        <v>0</v>
      </c>
      <c r="I89" s="191">
        <v>0</v>
      </c>
      <c r="J89" s="191">
        <v>0</v>
      </c>
      <c r="K89" s="191">
        <v>0</v>
      </c>
      <c r="L89" s="191">
        <v>0</v>
      </c>
      <c r="M89" s="191">
        <v>0</v>
      </c>
      <c r="N89" s="191">
        <v>0</v>
      </c>
      <c r="O89" s="191">
        <v>0</v>
      </c>
      <c r="P89" s="191">
        <v>0</v>
      </c>
      <c r="Q89" s="191">
        <v>0</v>
      </c>
      <c r="R89" s="191">
        <v>0</v>
      </c>
      <c r="S89" s="191">
        <v>0</v>
      </c>
      <c r="T89" s="191">
        <v>0</v>
      </c>
      <c r="U89" s="191">
        <v>0</v>
      </c>
      <c r="V89" s="191">
        <v>0</v>
      </c>
      <c r="W89" s="191">
        <v>0</v>
      </c>
      <c r="X89" s="191">
        <v>0</v>
      </c>
      <c r="Y89" s="191">
        <v>0</v>
      </c>
      <c r="Z89" s="191">
        <v>0</v>
      </c>
      <c r="AA89" s="191">
        <v>0</v>
      </c>
      <c r="AB89" s="191">
        <v>0</v>
      </c>
      <c r="AC89" s="191">
        <v>0</v>
      </c>
      <c r="AD89" s="191">
        <v>0</v>
      </c>
      <c r="AE89" s="191">
        <v>0</v>
      </c>
      <c r="AF89" s="191">
        <v>0</v>
      </c>
      <c r="AG89" s="191">
        <v>0</v>
      </c>
      <c r="AH89" s="191">
        <v>0</v>
      </c>
      <c r="AI89" s="191">
        <v>0</v>
      </c>
      <c r="AJ89" s="191">
        <v>0</v>
      </c>
      <c r="AK89" s="191">
        <v>0</v>
      </c>
      <c r="AL89" s="191">
        <v>0</v>
      </c>
      <c r="AM89" s="191">
        <v>0</v>
      </c>
      <c r="AN89" s="191">
        <v>0</v>
      </c>
      <c r="AO89" s="191">
        <v>0</v>
      </c>
      <c r="AP89" s="191">
        <v>0</v>
      </c>
      <c r="AQ89" s="191">
        <v>0</v>
      </c>
      <c r="AR89" s="191">
        <v>0</v>
      </c>
      <c r="AS89" s="191">
        <v>0</v>
      </c>
      <c r="AT89" s="191">
        <v>0</v>
      </c>
      <c r="AU89" s="191">
        <v>0</v>
      </c>
      <c r="AV89" s="191">
        <v>0</v>
      </c>
    </row>
    <row r="90" spans="2:48" ht="15.6" customHeight="1" outlineLevel="1">
      <c r="B90" s="264"/>
      <c r="C90" s="266"/>
      <c r="D90" s="167" t="s">
        <v>419</v>
      </c>
      <c r="E90" s="199" t="e" cm="1">
        <f t="array" aca="1" ref="E90" ca="1">AVERAGE(_xlfn._xlws.FILTER(G90:AV90, $G$3:$AV$3 &lt;= $E$2))</f>
        <v>#NAME?</v>
      </c>
      <c r="F90" s="188"/>
      <c r="G90" s="191">
        <v>0</v>
      </c>
      <c r="H90" s="191">
        <v>0</v>
      </c>
      <c r="I90" s="191">
        <v>0</v>
      </c>
      <c r="J90" s="191">
        <v>0</v>
      </c>
      <c r="K90" s="191">
        <v>0</v>
      </c>
      <c r="L90" s="191">
        <v>0</v>
      </c>
      <c r="M90" s="191">
        <v>0</v>
      </c>
      <c r="N90" s="191">
        <v>0</v>
      </c>
      <c r="O90" s="191">
        <v>0</v>
      </c>
      <c r="P90" s="191">
        <v>0</v>
      </c>
      <c r="Q90" s="191">
        <v>0</v>
      </c>
      <c r="R90" s="191">
        <v>0</v>
      </c>
      <c r="S90" s="191">
        <v>0</v>
      </c>
      <c r="T90" s="191">
        <v>0</v>
      </c>
      <c r="U90" s="191">
        <v>0</v>
      </c>
      <c r="V90" s="191">
        <v>0</v>
      </c>
      <c r="W90" s="191">
        <v>0</v>
      </c>
      <c r="X90" s="191">
        <v>0</v>
      </c>
      <c r="Y90" s="191">
        <v>0</v>
      </c>
      <c r="Z90" s="191">
        <v>0</v>
      </c>
      <c r="AA90" s="191">
        <v>0</v>
      </c>
      <c r="AB90" s="191">
        <v>0</v>
      </c>
      <c r="AC90" s="191">
        <v>0</v>
      </c>
      <c r="AD90" s="191">
        <v>0</v>
      </c>
      <c r="AE90" s="191">
        <v>0</v>
      </c>
      <c r="AF90" s="191">
        <v>0</v>
      </c>
      <c r="AG90" s="191">
        <v>0</v>
      </c>
      <c r="AH90" s="191">
        <v>0</v>
      </c>
      <c r="AI90" s="191">
        <v>0</v>
      </c>
      <c r="AJ90" s="191">
        <v>0</v>
      </c>
      <c r="AK90" s="191">
        <v>0</v>
      </c>
      <c r="AL90" s="191">
        <v>0</v>
      </c>
      <c r="AM90" s="191">
        <v>0</v>
      </c>
      <c r="AN90" s="191">
        <v>0</v>
      </c>
      <c r="AO90" s="191">
        <v>0</v>
      </c>
      <c r="AP90" s="191">
        <v>0</v>
      </c>
      <c r="AQ90" s="191">
        <v>0</v>
      </c>
      <c r="AR90" s="191">
        <v>0</v>
      </c>
      <c r="AS90" s="191">
        <v>0</v>
      </c>
      <c r="AT90" s="191">
        <v>0</v>
      </c>
      <c r="AU90" s="191">
        <v>0</v>
      </c>
      <c r="AV90" s="191">
        <v>0</v>
      </c>
    </row>
    <row r="91" spans="2:48" ht="15.6" customHeight="1" outlineLevel="1">
      <c r="B91" s="264"/>
      <c r="C91" s="266"/>
      <c r="D91" s="167" t="s">
        <v>194</v>
      </c>
      <c r="E91" s="199" t="e" cm="1">
        <f t="array" aca="1" ref="E91" ca="1">AVERAGE(_xlfn._xlws.FILTER(G91:AV91, $G$3:$AV$3 &lt;= $E$2))</f>
        <v>#NAME?</v>
      </c>
      <c r="F91" s="188"/>
      <c r="G91" s="191">
        <v>0</v>
      </c>
      <c r="H91" s="191">
        <v>0</v>
      </c>
      <c r="I91" s="191">
        <v>0</v>
      </c>
      <c r="J91" s="191">
        <v>0</v>
      </c>
      <c r="K91" s="191">
        <v>0</v>
      </c>
      <c r="L91" s="191">
        <v>0</v>
      </c>
      <c r="M91" s="191">
        <v>0</v>
      </c>
      <c r="N91" s="191">
        <v>0</v>
      </c>
      <c r="O91" s="191">
        <v>0</v>
      </c>
      <c r="P91" s="191">
        <v>0</v>
      </c>
      <c r="Q91" s="191">
        <v>0</v>
      </c>
      <c r="R91" s="191">
        <v>0</v>
      </c>
      <c r="S91" s="191">
        <v>0</v>
      </c>
      <c r="T91" s="191">
        <v>0</v>
      </c>
      <c r="U91" s="191">
        <v>0</v>
      </c>
      <c r="V91" s="191">
        <v>0</v>
      </c>
      <c r="W91" s="191">
        <v>0</v>
      </c>
      <c r="X91" s="191">
        <v>0</v>
      </c>
      <c r="Y91" s="191">
        <v>0</v>
      </c>
      <c r="Z91" s="191">
        <v>0</v>
      </c>
      <c r="AA91" s="191">
        <v>0</v>
      </c>
      <c r="AB91" s="191">
        <v>0</v>
      </c>
      <c r="AC91" s="191">
        <v>0</v>
      </c>
      <c r="AD91" s="191">
        <v>0</v>
      </c>
      <c r="AE91" s="191">
        <v>0</v>
      </c>
      <c r="AF91" s="191">
        <v>0</v>
      </c>
      <c r="AG91" s="191">
        <v>0</v>
      </c>
      <c r="AH91" s="191">
        <v>0</v>
      </c>
      <c r="AI91" s="191">
        <v>0</v>
      </c>
      <c r="AJ91" s="191">
        <v>0</v>
      </c>
      <c r="AK91" s="191">
        <v>0</v>
      </c>
      <c r="AL91" s="191">
        <v>0</v>
      </c>
      <c r="AM91" s="191">
        <v>0</v>
      </c>
      <c r="AN91" s="191">
        <v>0</v>
      </c>
      <c r="AO91" s="191">
        <v>0</v>
      </c>
      <c r="AP91" s="191">
        <v>0</v>
      </c>
      <c r="AQ91" s="191">
        <v>0</v>
      </c>
      <c r="AR91" s="191">
        <v>0</v>
      </c>
      <c r="AS91" s="191">
        <v>0</v>
      </c>
      <c r="AT91" s="191">
        <v>0</v>
      </c>
      <c r="AU91" s="191">
        <v>0</v>
      </c>
      <c r="AV91" s="191">
        <v>0</v>
      </c>
    </row>
    <row r="92" spans="2:48" ht="15.6" customHeight="1" outlineLevel="1">
      <c r="B92" s="264"/>
      <c r="C92" s="266"/>
      <c r="D92" s="167" t="s">
        <v>378</v>
      </c>
      <c r="E92" s="199" t="e" cm="1">
        <f t="array" aca="1" ref="E92" ca="1">AVERAGE(_xlfn._xlws.FILTER(G92:AV92, $G$3:$AV$3 &lt;= $E$2))</f>
        <v>#NAME?</v>
      </c>
      <c r="F92" s="188"/>
      <c r="G92" s="191">
        <v>0</v>
      </c>
      <c r="H92" s="191">
        <v>0</v>
      </c>
      <c r="I92" s="191">
        <v>0</v>
      </c>
      <c r="J92" s="191">
        <v>0</v>
      </c>
      <c r="K92" s="191">
        <v>0</v>
      </c>
      <c r="L92" s="191">
        <v>0</v>
      </c>
      <c r="M92" s="191">
        <v>0</v>
      </c>
      <c r="N92" s="191">
        <v>0</v>
      </c>
      <c r="O92" s="191">
        <v>0</v>
      </c>
      <c r="P92" s="191">
        <v>0</v>
      </c>
      <c r="Q92" s="191">
        <v>0</v>
      </c>
      <c r="R92" s="191">
        <v>0</v>
      </c>
      <c r="S92" s="191">
        <v>0</v>
      </c>
      <c r="T92" s="191">
        <v>0</v>
      </c>
      <c r="U92" s="191">
        <v>0</v>
      </c>
      <c r="V92" s="191">
        <v>0</v>
      </c>
      <c r="W92" s="191">
        <v>0</v>
      </c>
      <c r="X92" s="191">
        <v>0</v>
      </c>
      <c r="Y92" s="191">
        <v>0</v>
      </c>
      <c r="Z92" s="191">
        <v>0</v>
      </c>
      <c r="AA92" s="191">
        <v>0</v>
      </c>
      <c r="AB92" s="191">
        <v>0</v>
      </c>
      <c r="AC92" s="191">
        <v>0</v>
      </c>
      <c r="AD92" s="191">
        <v>0</v>
      </c>
      <c r="AE92" s="191">
        <v>0</v>
      </c>
      <c r="AF92" s="191">
        <v>0</v>
      </c>
      <c r="AG92" s="191">
        <v>0</v>
      </c>
      <c r="AH92" s="191">
        <v>0</v>
      </c>
      <c r="AI92" s="191">
        <v>0</v>
      </c>
      <c r="AJ92" s="191">
        <v>0</v>
      </c>
      <c r="AK92" s="191">
        <v>0</v>
      </c>
      <c r="AL92" s="191">
        <v>0</v>
      </c>
      <c r="AM92" s="191">
        <v>0</v>
      </c>
      <c r="AN92" s="191">
        <v>0</v>
      </c>
      <c r="AO92" s="191">
        <v>0</v>
      </c>
      <c r="AP92" s="191">
        <v>0</v>
      </c>
      <c r="AQ92" s="191">
        <v>0</v>
      </c>
      <c r="AR92" s="191">
        <v>0</v>
      </c>
      <c r="AS92" s="191">
        <v>0</v>
      </c>
      <c r="AT92" s="191">
        <v>0</v>
      </c>
      <c r="AU92" s="191">
        <v>0</v>
      </c>
      <c r="AV92" s="191">
        <v>0</v>
      </c>
    </row>
    <row r="93" spans="2:48">
      <c r="B93" s="264"/>
      <c r="C93" s="266"/>
      <c r="D93" s="219" t="s">
        <v>420</v>
      </c>
      <c r="E93" s="223" t="e" cm="1">
        <f t="array" aca="1" ref="E93" ca="1">AVERAGE(_xlfn._xlws.FILTER(G93:AV93, $G$3:$AV$3 &lt;= $E$2))</f>
        <v>#NAME?</v>
      </c>
      <c r="F93" s="221"/>
      <c r="G93" s="224">
        <v>0</v>
      </c>
      <c r="H93" s="224">
        <v>0</v>
      </c>
      <c r="I93" s="224">
        <f>SUM(I94:I95)</f>
        <v>0</v>
      </c>
      <c r="J93" s="224">
        <v>0</v>
      </c>
      <c r="K93" s="224">
        <v>0</v>
      </c>
      <c r="L93" s="224">
        <v>0</v>
      </c>
      <c r="M93" s="224">
        <v>0</v>
      </c>
      <c r="N93" s="224">
        <v>0</v>
      </c>
      <c r="O93" s="224">
        <v>0</v>
      </c>
      <c r="P93" s="224">
        <v>0</v>
      </c>
      <c r="Q93" s="224">
        <v>0</v>
      </c>
      <c r="R93" s="224">
        <v>0</v>
      </c>
      <c r="S93" s="224">
        <v>0</v>
      </c>
      <c r="T93" s="224">
        <v>0</v>
      </c>
      <c r="U93" s="224">
        <v>0</v>
      </c>
      <c r="V93" s="224">
        <v>0</v>
      </c>
      <c r="W93" s="224">
        <v>0</v>
      </c>
      <c r="X93" s="224">
        <v>0</v>
      </c>
      <c r="Y93" s="224">
        <v>0</v>
      </c>
      <c r="Z93" s="224">
        <v>0</v>
      </c>
      <c r="AA93" s="224">
        <v>0</v>
      </c>
      <c r="AB93" s="224">
        <v>0</v>
      </c>
      <c r="AC93" s="224">
        <v>0</v>
      </c>
      <c r="AD93" s="224">
        <v>0</v>
      </c>
      <c r="AE93" s="224">
        <v>0</v>
      </c>
      <c r="AF93" s="224">
        <v>0</v>
      </c>
      <c r="AG93" s="224">
        <v>0</v>
      </c>
      <c r="AH93" s="224">
        <v>0</v>
      </c>
      <c r="AI93" s="224">
        <v>0</v>
      </c>
      <c r="AJ93" s="224">
        <v>0</v>
      </c>
      <c r="AK93" s="224">
        <v>0</v>
      </c>
      <c r="AL93" s="224">
        <v>0</v>
      </c>
      <c r="AM93" s="224">
        <v>0</v>
      </c>
      <c r="AN93" s="224">
        <v>0</v>
      </c>
      <c r="AO93" s="224">
        <v>0</v>
      </c>
      <c r="AP93" s="224">
        <v>0</v>
      </c>
      <c r="AQ93" s="224">
        <v>0</v>
      </c>
      <c r="AR93" s="224">
        <v>0</v>
      </c>
      <c r="AS93" s="224">
        <v>0</v>
      </c>
      <c r="AT93" s="224">
        <v>0</v>
      </c>
      <c r="AU93" s="224">
        <v>0</v>
      </c>
      <c r="AV93" s="224">
        <v>0</v>
      </c>
    </row>
    <row r="94" spans="2:48" ht="15.6" customHeight="1" outlineLevel="1">
      <c r="B94" s="264"/>
      <c r="C94" s="266"/>
      <c r="D94" s="167" t="s">
        <v>421</v>
      </c>
      <c r="E94" s="199" t="e" cm="1">
        <f t="array" aca="1" ref="E94" ca="1">AVERAGE(_xlfn._xlws.FILTER(G94:AV94, $G$3:$AV$3 &lt;= $E$2))</f>
        <v>#NAME?</v>
      </c>
      <c r="F94" s="188"/>
      <c r="G94" s="191">
        <v>0</v>
      </c>
      <c r="H94" s="191">
        <v>0</v>
      </c>
      <c r="I94" s="191">
        <v>0</v>
      </c>
      <c r="J94" s="191">
        <v>0</v>
      </c>
      <c r="K94" s="191">
        <v>0</v>
      </c>
      <c r="L94" s="191">
        <v>0</v>
      </c>
      <c r="M94" s="191">
        <v>0</v>
      </c>
      <c r="N94" s="191">
        <v>0</v>
      </c>
      <c r="O94" s="191">
        <v>0</v>
      </c>
      <c r="P94" s="191">
        <v>0</v>
      </c>
      <c r="Q94" s="191">
        <v>0</v>
      </c>
      <c r="R94" s="191">
        <v>0</v>
      </c>
      <c r="S94" s="191">
        <v>0</v>
      </c>
      <c r="T94" s="191">
        <v>0</v>
      </c>
      <c r="U94" s="191">
        <v>0</v>
      </c>
      <c r="V94" s="191">
        <v>0</v>
      </c>
      <c r="W94" s="191">
        <v>0</v>
      </c>
      <c r="X94" s="191">
        <v>0</v>
      </c>
      <c r="Y94" s="191">
        <v>0</v>
      </c>
      <c r="Z94" s="191">
        <v>0</v>
      </c>
      <c r="AA94" s="191">
        <v>0</v>
      </c>
      <c r="AB94" s="191">
        <v>0</v>
      </c>
      <c r="AC94" s="191">
        <v>0</v>
      </c>
      <c r="AD94" s="191">
        <v>0</v>
      </c>
      <c r="AE94" s="191">
        <v>0</v>
      </c>
      <c r="AF94" s="191">
        <v>0</v>
      </c>
      <c r="AG94" s="191">
        <v>0</v>
      </c>
      <c r="AH94" s="191">
        <v>0</v>
      </c>
      <c r="AI94" s="191">
        <v>0</v>
      </c>
      <c r="AJ94" s="191">
        <v>0</v>
      </c>
      <c r="AK94" s="191">
        <v>0</v>
      </c>
      <c r="AL94" s="191">
        <v>0</v>
      </c>
      <c r="AM94" s="191">
        <v>0</v>
      </c>
      <c r="AN94" s="191">
        <v>0</v>
      </c>
      <c r="AO94" s="191">
        <v>0</v>
      </c>
      <c r="AP94" s="191">
        <v>0</v>
      </c>
      <c r="AQ94" s="191">
        <v>0</v>
      </c>
      <c r="AR94" s="191">
        <v>0</v>
      </c>
      <c r="AS94" s="191">
        <v>0</v>
      </c>
      <c r="AT94" s="191">
        <v>0</v>
      </c>
      <c r="AU94" s="191">
        <v>0</v>
      </c>
      <c r="AV94" s="191">
        <v>0</v>
      </c>
    </row>
    <row r="95" spans="2:48" ht="15.6" customHeight="1" outlineLevel="1">
      <c r="B95" s="264"/>
      <c r="C95" s="266"/>
      <c r="D95" s="167" t="s">
        <v>422</v>
      </c>
      <c r="E95" s="199" t="e" cm="1">
        <f t="array" aca="1" ref="E95" ca="1">AVERAGE(_xlfn._xlws.FILTER(G95:AV95, $G$3:$AV$3 &lt;= $E$2))</f>
        <v>#NAME?</v>
      </c>
      <c r="F95" s="188"/>
      <c r="G95" s="191">
        <v>0</v>
      </c>
      <c r="H95" s="191">
        <v>0</v>
      </c>
      <c r="I95" s="191">
        <v>0</v>
      </c>
      <c r="J95" s="191">
        <v>0</v>
      </c>
      <c r="K95" s="191">
        <v>0</v>
      </c>
      <c r="L95" s="191">
        <v>0</v>
      </c>
      <c r="M95" s="191">
        <v>0</v>
      </c>
      <c r="N95" s="191">
        <v>0</v>
      </c>
      <c r="O95" s="191">
        <v>0</v>
      </c>
      <c r="P95" s="191">
        <v>0</v>
      </c>
      <c r="Q95" s="191">
        <v>0</v>
      </c>
      <c r="R95" s="191">
        <v>0</v>
      </c>
      <c r="S95" s="191">
        <v>0</v>
      </c>
      <c r="T95" s="191">
        <v>0</v>
      </c>
      <c r="U95" s="191">
        <v>0</v>
      </c>
      <c r="V95" s="191">
        <v>0</v>
      </c>
      <c r="W95" s="191">
        <v>0</v>
      </c>
      <c r="X95" s="191">
        <v>0</v>
      </c>
      <c r="Y95" s="191">
        <v>0</v>
      </c>
      <c r="Z95" s="191">
        <v>0</v>
      </c>
      <c r="AA95" s="191">
        <v>0</v>
      </c>
      <c r="AB95" s="191">
        <v>0</v>
      </c>
      <c r="AC95" s="191">
        <v>0</v>
      </c>
      <c r="AD95" s="191">
        <v>0</v>
      </c>
      <c r="AE95" s="191">
        <v>0</v>
      </c>
      <c r="AF95" s="191">
        <v>0</v>
      </c>
      <c r="AG95" s="191">
        <v>0</v>
      </c>
      <c r="AH95" s="191">
        <v>0</v>
      </c>
      <c r="AI95" s="191">
        <v>0</v>
      </c>
      <c r="AJ95" s="191">
        <v>0</v>
      </c>
      <c r="AK95" s="191">
        <v>0</v>
      </c>
      <c r="AL95" s="191">
        <v>0</v>
      </c>
      <c r="AM95" s="191">
        <v>0</v>
      </c>
      <c r="AN95" s="191">
        <v>0</v>
      </c>
      <c r="AO95" s="191">
        <v>0</v>
      </c>
      <c r="AP95" s="191">
        <v>0</v>
      </c>
      <c r="AQ95" s="191">
        <v>0</v>
      </c>
      <c r="AR95" s="191">
        <v>0</v>
      </c>
      <c r="AS95" s="191">
        <v>0</v>
      </c>
      <c r="AT95" s="191">
        <v>0</v>
      </c>
      <c r="AU95" s="191">
        <v>0</v>
      </c>
      <c r="AV95" s="191">
        <v>0</v>
      </c>
    </row>
    <row r="96" spans="2:48">
      <c r="B96" s="264"/>
      <c r="C96" s="266"/>
      <c r="D96" s="219" t="s">
        <v>128</v>
      </c>
      <c r="E96" s="223" t="e" cm="1">
        <f t="array" aca="1" ref="E96" ca="1">AVERAGE(_xlfn._xlws.FILTER(G96:AV96, $G$3:$AV$3 &lt;= $E$2))</f>
        <v>#NAME?</v>
      </c>
      <c r="F96" s="221"/>
      <c r="G96" s="224">
        <v>0</v>
      </c>
      <c r="H96" s="224">
        <v>0</v>
      </c>
      <c r="I96" s="224">
        <f t="shared" ref="I96:AV96" si="17">SUM(I97:I98)</f>
        <v>5000</v>
      </c>
      <c r="J96" s="224">
        <f t="shared" si="17"/>
        <v>5000</v>
      </c>
      <c r="K96" s="224">
        <f t="shared" si="17"/>
        <v>5000</v>
      </c>
      <c r="L96" s="224">
        <f t="shared" si="17"/>
        <v>5000</v>
      </c>
      <c r="M96" s="224">
        <f t="shared" si="17"/>
        <v>5000</v>
      </c>
      <c r="N96" s="224">
        <f t="shared" si="17"/>
        <v>5000</v>
      </c>
      <c r="O96" s="224">
        <f t="shared" si="17"/>
        <v>5000</v>
      </c>
      <c r="P96" s="224">
        <f t="shared" si="17"/>
        <v>5000</v>
      </c>
      <c r="Q96" s="224">
        <f t="shared" si="17"/>
        <v>5000</v>
      </c>
      <c r="R96" s="224">
        <f t="shared" si="17"/>
        <v>55000</v>
      </c>
      <c r="S96" s="224">
        <f t="shared" si="17"/>
        <v>5000</v>
      </c>
      <c r="T96" s="224">
        <f t="shared" si="17"/>
        <v>5000</v>
      </c>
      <c r="U96" s="224">
        <f t="shared" si="17"/>
        <v>5000</v>
      </c>
      <c r="V96" s="224">
        <f t="shared" si="17"/>
        <v>5000</v>
      </c>
      <c r="W96" s="224">
        <f t="shared" si="17"/>
        <v>5000</v>
      </c>
      <c r="X96" s="224">
        <f t="shared" si="17"/>
        <v>5000</v>
      </c>
      <c r="Y96" s="224">
        <f t="shared" si="17"/>
        <v>5000</v>
      </c>
      <c r="Z96" s="224">
        <f t="shared" si="17"/>
        <v>5000</v>
      </c>
      <c r="AA96" s="224">
        <f t="shared" si="17"/>
        <v>5000</v>
      </c>
      <c r="AB96" s="224">
        <f t="shared" si="17"/>
        <v>5000</v>
      </c>
      <c r="AC96" s="224">
        <f t="shared" si="17"/>
        <v>5000</v>
      </c>
      <c r="AD96" s="224">
        <f t="shared" si="17"/>
        <v>5000</v>
      </c>
      <c r="AE96" s="224">
        <f t="shared" si="17"/>
        <v>5000</v>
      </c>
      <c r="AF96" s="224">
        <f t="shared" si="17"/>
        <v>5000</v>
      </c>
      <c r="AG96" s="224">
        <f t="shared" si="17"/>
        <v>5000</v>
      </c>
      <c r="AH96" s="224">
        <f t="shared" si="17"/>
        <v>5000</v>
      </c>
      <c r="AI96" s="224">
        <f t="shared" si="17"/>
        <v>5000</v>
      </c>
      <c r="AJ96" s="224">
        <f t="shared" si="17"/>
        <v>5000</v>
      </c>
      <c r="AK96" s="224">
        <f t="shared" si="17"/>
        <v>5000</v>
      </c>
      <c r="AL96" s="224">
        <f t="shared" si="17"/>
        <v>5001</v>
      </c>
      <c r="AM96" s="224">
        <f t="shared" si="17"/>
        <v>5002</v>
      </c>
      <c r="AN96" s="224">
        <f t="shared" si="17"/>
        <v>5003</v>
      </c>
      <c r="AO96" s="224">
        <f t="shared" si="17"/>
        <v>5004</v>
      </c>
      <c r="AP96" s="224">
        <f t="shared" si="17"/>
        <v>5005</v>
      </c>
      <c r="AQ96" s="224">
        <f t="shared" si="17"/>
        <v>5006</v>
      </c>
      <c r="AR96" s="224">
        <f t="shared" si="17"/>
        <v>5007</v>
      </c>
      <c r="AS96" s="224">
        <f t="shared" si="17"/>
        <v>5008</v>
      </c>
      <c r="AT96" s="224">
        <f t="shared" si="17"/>
        <v>5009</v>
      </c>
      <c r="AU96" s="224">
        <f t="shared" si="17"/>
        <v>5010</v>
      </c>
      <c r="AV96" s="224">
        <f t="shared" si="17"/>
        <v>5011</v>
      </c>
    </row>
    <row r="97" spans="2:48" ht="15.6" customHeight="1" outlineLevel="1">
      <c r="B97" s="264"/>
      <c r="C97" s="266"/>
      <c r="D97" s="167"/>
      <c r="E97" s="199" t="e" cm="1">
        <f t="array" aca="1" ref="E97" ca="1">AVERAGE(_xlfn._xlws.FILTER(G97:AV97, $G$3:$AV$3 &lt;= $E$2))</f>
        <v>#NAME?</v>
      </c>
      <c r="F97" s="188"/>
      <c r="G97" s="191">
        <v>0</v>
      </c>
      <c r="H97" s="191">
        <v>0</v>
      </c>
      <c r="I97" s="191">
        <v>5000</v>
      </c>
      <c r="J97" s="191">
        <v>5000</v>
      </c>
      <c r="K97" s="191">
        <v>5000</v>
      </c>
      <c r="L97" s="191">
        <v>5000</v>
      </c>
      <c r="M97" s="191">
        <v>5000</v>
      </c>
      <c r="N97" s="191">
        <v>5000</v>
      </c>
      <c r="O97" s="191">
        <v>5000</v>
      </c>
      <c r="P97" s="191">
        <v>5000</v>
      </c>
      <c r="Q97" s="191">
        <v>5000</v>
      </c>
      <c r="R97" s="191">
        <v>55000</v>
      </c>
      <c r="S97" s="191">
        <v>5000</v>
      </c>
      <c r="T97" s="191">
        <v>5000</v>
      </c>
      <c r="U97" s="191">
        <v>5000</v>
      </c>
      <c r="V97" s="191">
        <v>5000</v>
      </c>
      <c r="W97" s="191">
        <v>5000</v>
      </c>
      <c r="X97" s="191">
        <v>5000</v>
      </c>
      <c r="Y97" s="191">
        <v>5000</v>
      </c>
      <c r="Z97" s="191">
        <v>5000</v>
      </c>
      <c r="AA97" s="191">
        <v>5000</v>
      </c>
      <c r="AB97" s="191">
        <v>5000</v>
      </c>
      <c r="AC97" s="191">
        <v>5000</v>
      </c>
      <c r="AD97" s="191">
        <v>5000</v>
      </c>
      <c r="AE97" s="191">
        <v>5000</v>
      </c>
      <c r="AF97" s="191">
        <v>5000</v>
      </c>
      <c r="AG97" s="191">
        <v>5000</v>
      </c>
      <c r="AH97" s="191">
        <v>5000</v>
      </c>
      <c r="AI97" s="191">
        <v>5000</v>
      </c>
      <c r="AJ97" s="191">
        <v>5000</v>
      </c>
      <c r="AK97" s="191">
        <v>5000</v>
      </c>
      <c r="AL97" s="191">
        <v>5001</v>
      </c>
      <c r="AM97" s="191">
        <v>5002</v>
      </c>
      <c r="AN97" s="191">
        <v>5003</v>
      </c>
      <c r="AO97" s="191">
        <v>5004</v>
      </c>
      <c r="AP97" s="191">
        <v>5005</v>
      </c>
      <c r="AQ97" s="191">
        <v>5006</v>
      </c>
      <c r="AR97" s="191">
        <v>5007</v>
      </c>
      <c r="AS97" s="191">
        <v>5008</v>
      </c>
      <c r="AT97" s="191">
        <v>5009</v>
      </c>
      <c r="AU97" s="191">
        <v>5010</v>
      </c>
      <c r="AV97" s="191">
        <v>5011</v>
      </c>
    </row>
    <row r="98" spans="2:48" ht="15.6" customHeight="1" outlineLevel="1">
      <c r="B98" s="264"/>
      <c r="C98" s="266"/>
      <c r="D98" s="167"/>
      <c r="E98" s="199" t="e" cm="1">
        <f t="array" aca="1" ref="E98" ca="1">AVERAGE(_xlfn._xlws.FILTER(G98:AV98, $G$3:$AV$3 &lt;= $E$2))</f>
        <v>#NAME?</v>
      </c>
      <c r="F98" s="188"/>
      <c r="G98" s="191">
        <v>0</v>
      </c>
      <c r="H98" s="191">
        <v>0</v>
      </c>
      <c r="I98" s="191">
        <v>0</v>
      </c>
      <c r="J98" s="191">
        <v>0</v>
      </c>
      <c r="K98" s="191">
        <v>0</v>
      </c>
      <c r="L98" s="191">
        <v>0</v>
      </c>
      <c r="M98" s="191">
        <v>0</v>
      </c>
      <c r="N98" s="191">
        <v>0</v>
      </c>
      <c r="O98" s="191">
        <v>0</v>
      </c>
      <c r="P98" s="191">
        <v>0</v>
      </c>
      <c r="Q98" s="191">
        <v>0</v>
      </c>
      <c r="R98" s="191">
        <v>0</v>
      </c>
      <c r="S98" s="191">
        <v>0</v>
      </c>
      <c r="T98" s="191">
        <v>0</v>
      </c>
      <c r="U98" s="191">
        <v>0</v>
      </c>
      <c r="V98" s="191">
        <v>0</v>
      </c>
      <c r="W98" s="191">
        <v>0</v>
      </c>
      <c r="X98" s="191">
        <v>0</v>
      </c>
      <c r="Y98" s="191">
        <v>0</v>
      </c>
      <c r="Z98" s="191">
        <v>0</v>
      </c>
      <c r="AA98" s="191">
        <v>0</v>
      </c>
      <c r="AB98" s="191">
        <v>0</v>
      </c>
      <c r="AC98" s="191">
        <v>0</v>
      </c>
      <c r="AD98" s="191">
        <v>0</v>
      </c>
      <c r="AE98" s="191">
        <v>0</v>
      </c>
      <c r="AF98" s="191">
        <v>0</v>
      </c>
      <c r="AG98" s="191">
        <v>0</v>
      </c>
      <c r="AH98" s="191">
        <v>0</v>
      </c>
      <c r="AI98" s="191">
        <v>0</v>
      </c>
      <c r="AJ98" s="191">
        <v>0</v>
      </c>
      <c r="AK98" s="191">
        <v>0</v>
      </c>
      <c r="AL98" s="191">
        <v>0</v>
      </c>
      <c r="AM98" s="191">
        <v>0</v>
      </c>
      <c r="AN98" s="191">
        <v>0</v>
      </c>
      <c r="AO98" s="191">
        <v>0</v>
      </c>
      <c r="AP98" s="191">
        <v>0</v>
      </c>
      <c r="AQ98" s="191">
        <v>0</v>
      </c>
      <c r="AR98" s="191">
        <v>0</v>
      </c>
      <c r="AS98" s="191">
        <v>0</v>
      </c>
      <c r="AT98" s="191">
        <v>0</v>
      </c>
      <c r="AU98" s="191">
        <v>0</v>
      </c>
      <c r="AV98" s="191">
        <v>0</v>
      </c>
    </row>
    <row r="99" spans="2:48" ht="15.75" customHeight="1">
      <c r="B99" s="264"/>
      <c r="C99" s="267" t="s">
        <v>423</v>
      </c>
      <c r="D99" s="219" t="s">
        <v>176</v>
      </c>
      <c r="E99" s="223" t="e" cm="1">
        <f t="array" aca="1" ref="E99" ca="1">AVERAGE(_xlfn._xlws.FILTER(G99:AV99, $G$3:$AV$3 &lt;= $E$2))</f>
        <v>#NAME?</v>
      </c>
      <c r="F99" s="221"/>
      <c r="G99" s="224">
        <v>0</v>
      </c>
      <c r="H99" s="224">
        <v>0</v>
      </c>
      <c r="I99" s="224">
        <v>0</v>
      </c>
      <c r="J99" s="224">
        <v>0</v>
      </c>
      <c r="K99" s="224">
        <v>0</v>
      </c>
      <c r="L99" s="224">
        <v>0</v>
      </c>
      <c r="M99" s="224">
        <v>0</v>
      </c>
      <c r="N99" s="224">
        <v>0</v>
      </c>
      <c r="O99" s="224">
        <v>0</v>
      </c>
      <c r="P99" s="224">
        <v>0</v>
      </c>
      <c r="Q99" s="224">
        <v>0</v>
      </c>
      <c r="R99" s="224">
        <v>0</v>
      </c>
      <c r="S99" s="224">
        <v>0</v>
      </c>
      <c r="T99" s="224">
        <v>0</v>
      </c>
      <c r="U99" s="224">
        <v>0</v>
      </c>
      <c r="V99" s="224">
        <v>0</v>
      </c>
      <c r="W99" s="224">
        <v>0</v>
      </c>
      <c r="X99" s="224">
        <v>0</v>
      </c>
      <c r="Y99" s="224">
        <v>0</v>
      </c>
      <c r="Z99" s="224">
        <v>0</v>
      </c>
      <c r="AA99" s="224">
        <v>0</v>
      </c>
      <c r="AB99" s="224">
        <v>0</v>
      </c>
      <c r="AC99" s="224">
        <v>0</v>
      </c>
      <c r="AD99" s="224">
        <v>0</v>
      </c>
      <c r="AE99" s="224">
        <v>0</v>
      </c>
      <c r="AF99" s="224">
        <v>0</v>
      </c>
      <c r="AG99" s="224">
        <v>0</v>
      </c>
      <c r="AH99" s="224">
        <v>0</v>
      </c>
      <c r="AI99" s="224">
        <v>0</v>
      </c>
      <c r="AJ99" s="224">
        <v>0</v>
      </c>
      <c r="AK99" s="224">
        <v>0</v>
      </c>
      <c r="AL99" s="224">
        <v>0</v>
      </c>
      <c r="AM99" s="224">
        <v>0</v>
      </c>
      <c r="AN99" s="224">
        <v>0</v>
      </c>
      <c r="AO99" s="224">
        <v>0</v>
      </c>
      <c r="AP99" s="224">
        <v>0</v>
      </c>
      <c r="AQ99" s="224">
        <v>0</v>
      </c>
      <c r="AR99" s="224">
        <v>0</v>
      </c>
      <c r="AS99" s="224">
        <v>0</v>
      </c>
      <c r="AT99" s="224">
        <v>0</v>
      </c>
      <c r="AU99" s="224">
        <v>0</v>
      </c>
      <c r="AV99" s="224">
        <v>0</v>
      </c>
    </row>
    <row r="100" spans="2:48" ht="15.6" customHeight="1" outlineLevel="1">
      <c r="B100" s="264"/>
      <c r="C100" s="267"/>
      <c r="D100" s="167" t="s">
        <v>424</v>
      </c>
      <c r="E100" s="199" t="e" cm="1">
        <f t="array" aca="1" ref="E100" ca="1">AVERAGE(_xlfn._xlws.FILTER(G100:AV100, $G$3:$AV$3 &lt;= $E$2))</f>
        <v>#NAME?</v>
      </c>
      <c r="F100" s="188"/>
      <c r="G100" s="191">
        <v>0</v>
      </c>
      <c r="H100" s="191">
        <v>0</v>
      </c>
      <c r="I100" s="191">
        <v>0</v>
      </c>
      <c r="J100" s="191">
        <v>0</v>
      </c>
      <c r="K100" s="191">
        <v>0</v>
      </c>
      <c r="L100" s="191">
        <v>0</v>
      </c>
      <c r="M100" s="191">
        <v>0</v>
      </c>
      <c r="N100" s="191">
        <v>0</v>
      </c>
      <c r="O100" s="191">
        <v>0</v>
      </c>
      <c r="P100" s="191">
        <v>0</v>
      </c>
      <c r="Q100" s="191">
        <v>0</v>
      </c>
      <c r="R100" s="191">
        <v>0</v>
      </c>
      <c r="S100" s="191">
        <v>0</v>
      </c>
      <c r="T100" s="191">
        <v>0</v>
      </c>
      <c r="U100" s="191">
        <v>0</v>
      </c>
      <c r="V100" s="191">
        <v>0</v>
      </c>
      <c r="W100" s="191">
        <v>0</v>
      </c>
      <c r="X100" s="191">
        <v>0</v>
      </c>
      <c r="Y100" s="191">
        <v>0</v>
      </c>
      <c r="Z100" s="191">
        <v>0</v>
      </c>
      <c r="AA100" s="191">
        <v>0</v>
      </c>
      <c r="AB100" s="191">
        <v>0</v>
      </c>
      <c r="AC100" s="191">
        <v>0</v>
      </c>
      <c r="AD100" s="191">
        <v>0</v>
      </c>
      <c r="AE100" s="191">
        <v>0</v>
      </c>
      <c r="AF100" s="191">
        <v>0</v>
      </c>
      <c r="AG100" s="191">
        <v>0</v>
      </c>
      <c r="AH100" s="191">
        <v>0</v>
      </c>
      <c r="AI100" s="191">
        <v>0</v>
      </c>
      <c r="AJ100" s="191">
        <v>0</v>
      </c>
      <c r="AK100" s="191">
        <v>0</v>
      </c>
      <c r="AL100" s="191">
        <v>0</v>
      </c>
      <c r="AM100" s="191">
        <v>0</v>
      </c>
      <c r="AN100" s="191">
        <v>0</v>
      </c>
      <c r="AO100" s="191">
        <v>0</v>
      </c>
      <c r="AP100" s="191">
        <v>0</v>
      </c>
      <c r="AQ100" s="191">
        <v>0</v>
      </c>
      <c r="AR100" s="191">
        <v>0</v>
      </c>
      <c r="AS100" s="191">
        <v>0</v>
      </c>
      <c r="AT100" s="191">
        <v>0</v>
      </c>
      <c r="AU100" s="191">
        <v>0</v>
      </c>
      <c r="AV100" s="191">
        <v>0</v>
      </c>
    </row>
    <row r="101" spans="2:48" ht="15.6" customHeight="1" outlineLevel="1">
      <c r="B101" s="264"/>
      <c r="C101" s="267"/>
      <c r="D101" s="167" t="s">
        <v>414</v>
      </c>
      <c r="E101" s="199" t="e" cm="1">
        <f t="array" aca="1" ref="E101" ca="1">AVERAGE(_xlfn._xlws.FILTER(G101:AV101, $G$3:$AV$3 &lt;= $E$2))</f>
        <v>#NAME?</v>
      </c>
      <c r="F101" s="188"/>
      <c r="G101" s="191">
        <v>0</v>
      </c>
      <c r="H101" s="191">
        <v>0</v>
      </c>
      <c r="I101" s="191">
        <v>0</v>
      </c>
      <c r="J101" s="191">
        <v>0</v>
      </c>
      <c r="K101" s="191">
        <v>0</v>
      </c>
      <c r="L101" s="191">
        <v>0</v>
      </c>
      <c r="M101" s="191">
        <v>0</v>
      </c>
      <c r="N101" s="191">
        <v>0</v>
      </c>
      <c r="O101" s="191">
        <v>0</v>
      </c>
      <c r="P101" s="191">
        <v>0</v>
      </c>
      <c r="Q101" s="191">
        <v>0</v>
      </c>
      <c r="R101" s="191">
        <v>0</v>
      </c>
      <c r="S101" s="191">
        <v>0</v>
      </c>
      <c r="T101" s="191">
        <v>0</v>
      </c>
      <c r="U101" s="191">
        <v>0</v>
      </c>
      <c r="V101" s="191">
        <v>0</v>
      </c>
      <c r="W101" s="191">
        <v>0</v>
      </c>
      <c r="X101" s="191">
        <v>0</v>
      </c>
      <c r="Y101" s="191">
        <v>0</v>
      </c>
      <c r="Z101" s="191">
        <v>0</v>
      </c>
      <c r="AA101" s="191">
        <v>0</v>
      </c>
      <c r="AB101" s="191">
        <v>0</v>
      </c>
      <c r="AC101" s="191">
        <v>0</v>
      </c>
      <c r="AD101" s="191">
        <v>0</v>
      </c>
      <c r="AE101" s="191">
        <v>0</v>
      </c>
      <c r="AF101" s="191">
        <v>0</v>
      </c>
      <c r="AG101" s="191">
        <v>0</v>
      </c>
      <c r="AH101" s="191">
        <v>0</v>
      </c>
      <c r="AI101" s="191">
        <v>0</v>
      </c>
      <c r="AJ101" s="191">
        <v>0</v>
      </c>
      <c r="AK101" s="191">
        <v>0</v>
      </c>
      <c r="AL101" s="191">
        <v>0</v>
      </c>
      <c r="AM101" s="191">
        <v>0</v>
      </c>
      <c r="AN101" s="191">
        <v>0</v>
      </c>
      <c r="AO101" s="191">
        <v>0</v>
      </c>
      <c r="AP101" s="191">
        <v>0</v>
      </c>
      <c r="AQ101" s="191">
        <v>0</v>
      </c>
      <c r="AR101" s="191">
        <v>0</v>
      </c>
      <c r="AS101" s="191">
        <v>0</v>
      </c>
      <c r="AT101" s="191">
        <v>0</v>
      </c>
      <c r="AU101" s="191">
        <v>0</v>
      </c>
      <c r="AV101" s="191">
        <v>0</v>
      </c>
    </row>
    <row r="102" spans="2:48" ht="15.6" customHeight="1" outlineLevel="1">
      <c r="B102" s="264"/>
      <c r="C102" s="267"/>
      <c r="D102" s="167" t="s">
        <v>425</v>
      </c>
      <c r="E102" s="199" t="e" cm="1">
        <f t="array" aca="1" ref="E102" ca="1">AVERAGE(_xlfn._xlws.FILTER(G102:AV102, $G$3:$AV$3 &lt;= $E$2))</f>
        <v>#NAME?</v>
      </c>
      <c r="F102" s="188"/>
      <c r="G102" s="191">
        <v>0</v>
      </c>
      <c r="H102" s="191">
        <v>0</v>
      </c>
      <c r="I102" s="191">
        <v>0</v>
      </c>
      <c r="J102" s="191">
        <v>0</v>
      </c>
      <c r="K102" s="191">
        <v>0</v>
      </c>
      <c r="L102" s="191">
        <v>0</v>
      </c>
      <c r="M102" s="191">
        <v>0</v>
      </c>
      <c r="N102" s="191">
        <v>0</v>
      </c>
      <c r="O102" s="191">
        <v>0</v>
      </c>
      <c r="P102" s="191">
        <v>0</v>
      </c>
      <c r="Q102" s="191">
        <v>0</v>
      </c>
      <c r="R102" s="191">
        <v>0</v>
      </c>
      <c r="S102" s="191">
        <v>0</v>
      </c>
      <c r="T102" s="191">
        <v>0</v>
      </c>
      <c r="U102" s="191">
        <v>0</v>
      </c>
      <c r="V102" s="191">
        <v>0</v>
      </c>
      <c r="W102" s="191">
        <v>0</v>
      </c>
      <c r="X102" s="191">
        <v>0</v>
      </c>
      <c r="Y102" s="191">
        <v>0</v>
      </c>
      <c r="Z102" s="191">
        <v>0</v>
      </c>
      <c r="AA102" s="191">
        <v>0</v>
      </c>
      <c r="AB102" s="191">
        <v>0</v>
      </c>
      <c r="AC102" s="191">
        <v>0</v>
      </c>
      <c r="AD102" s="191">
        <v>0</v>
      </c>
      <c r="AE102" s="191">
        <v>0</v>
      </c>
      <c r="AF102" s="191">
        <v>0</v>
      </c>
      <c r="AG102" s="191">
        <v>0</v>
      </c>
      <c r="AH102" s="191">
        <v>0</v>
      </c>
      <c r="AI102" s="191">
        <v>0</v>
      </c>
      <c r="AJ102" s="191">
        <v>0</v>
      </c>
      <c r="AK102" s="191">
        <v>0</v>
      </c>
      <c r="AL102" s="191">
        <v>0</v>
      </c>
      <c r="AM102" s="191">
        <v>0</v>
      </c>
      <c r="AN102" s="191">
        <v>0</v>
      </c>
      <c r="AO102" s="191">
        <v>0</v>
      </c>
      <c r="AP102" s="191">
        <v>0</v>
      </c>
      <c r="AQ102" s="191">
        <v>0</v>
      </c>
      <c r="AR102" s="191">
        <v>0</v>
      </c>
      <c r="AS102" s="191">
        <v>0</v>
      </c>
      <c r="AT102" s="191">
        <v>0</v>
      </c>
      <c r="AU102" s="191">
        <v>0</v>
      </c>
      <c r="AV102" s="191">
        <v>0</v>
      </c>
    </row>
    <row r="103" spans="2:48" ht="15.6" customHeight="1" outlineLevel="1">
      <c r="B103" s="264"/>
      <c r="C103" s="267"/>
      <c r="D103" s="167" t="s">
        <v>426</v>
      </c>
      <c r="E103" s="199" t="e" cm="1">
        <f t="array" aca="1" ref="E103" ca="1">AVERAGE(_xlfn._xlws.FILTER(G103:AV103, $G$3:$AV$3 &lt;= $E$2))</f>
        <v>#NAME?</v>
      </c>
      <c r="F103" s="188"/>
      <c r="G103" s="191">
        <v>0</v>
      </c>
      <c r="H103" s="191">
        <v>0</v>
      </c>
      <c r="I103" s="191">
        <v>0</v>
      </c>
      <c r="J103" s="191">
        <v>0</v>
      </c>
      <c r="K103" s="191">
        <v>0</v>
      </c>
      <c r="L103" s="191">
        <v>0</v>
      </c>
      <c r="M103" s="191">
        <v>0</v>
      </c>
      <c r="N103" s="191">
        <v>0</v>
      </c>
      <c r="O103" s="191">
        <v>0</v>
      </c>
      <c r="P103" s="191">
        <v>0</v>
      </c>
      <c r="Q103" s="191">
        <v>0</v>
      </c>
      <c r="R103" s="191">
        <v>0</v>
      </c>
      <c r="S103" s="191">
        <v>0</v>
      </c>
      <c r="T103" s="191">
        <v>0</v>
      </c>
      <c r="U103" s="191">
        <v>0</v>
      </c>
      <c r="V103" s="191">
        <v>0</v>
      </c>
      <c r="W103" s="191">
        <v>0</v>
      </c>
      <c r="X103" s="191">
        <v>0</v>
      </c>
      <c r="Y103" s="191">
        <v>0</v>
      </c>
      <c r="Z103" s="191">
        <v>0</v>
      </c>
      <c r="AA103" s="191">
        <v>0</v>
      </c>
      <c r="AB103" s="191">
        <v>0</v>
      </c>
      <c r="AC103" s="191">
        <v>0</v>
      </c>
      <c r="AD103" s="191">
        <v>0</v>
      </c>
      <c r="AE103" s="191">
        <v>0</v>
      </c>
      <c r="AF103" s="191">
        <v>0</v>
      </c>
      <c r="AG103" s="191">
        <v>0</v>
      </c>
      <c r="AH103" s="191">
        <v>0</v>
      </c>
      <c r="AI103" s="191">
        <v>0</v>
      </c>
      <c r="AJ103" s="191">
        <v>0</v>
      </c>
      <c r="AK103" s="191">
        <v>0</v>
      </c>
      <c r="AL103" s="191">
        <v>0</v>
      </c>
      <c r="AM103" s="191">
        <v>0</v>
      </c>
      <c r="AN103" s="191">
        <v>0</v>
      </c>
      <c r="AO103" s="191">
        <v>0</v>
      </c>
      <c r="AP103" s="191">
        <v>0</v>
      </c>
      <c r="AQ103" s="191">
        <v>0</v>
      </c>
      <c r="AR103" s="191">
        <v>0</v>
      </c>
      <c r="AS103" s="191">
        <v>0</v>
      </c>
      <c r="AT103" s="191">
        <v>0</v>
      </c>
      <c r="AU103" s="191">
        <v>0</v>
      </c>
      <c r="AV103" s="191">
        <v>0</v>
      </c>
    </row>
    <row r="104" spans="2:48" ht="15.6" customHeight="1" outlineLevel="1">
      <c r="B104" s="264"/>
      <c r="C104" s="267"/>
      <c r="D104" s="167" t="s">
        <v>427</v>
      </c>
      <c r="E104" s="199" t="e" cm="1">
        <f t="array" aca="1" ref="E104" ca="1">AVERAGE(_xlfn._xlws.FILTER(G104:AV104, $G$3:$AV$3 &lt;= $E$2))</f>
        <v>#NAME?</v>
      </c>
      <c r="F104" s="188"/>
      <c r="G104" s="191">
        <v>0</v>
      </c>
      <c r="H104" s="191">
        <v>0</v>
      </c>
      <c r="I104" s="191">
        <v>0</v>
      </c>
      <c r="J104" s="191">
        <v>0</v>
      </c>
      <c r="K104" s="191">
        <v>0</v>
      </c>
      <c r="L104" s="191">
        <v>0</v>
      </c>
      <c r="M104" s="191">
        <v>0</v>
      </c>
      <c r="N104" s="191">
        <v>0</v>
      </c>
      <c r="O104" s="191">
        <v>0</v>
      </c>
      <c r="P104" s="191">
        <v>0</v>
      </c>
      <c r="Q104" s="191">
        <v>0</v>
      </c>
      <c r="R104" s="191">
        <v>0</v>
      </c>
      <c r="S104" s="191">
        <v>0</v>
      </c>
      <c r="T104" s="191">
        <v>0</v>
      </c>
      <c r="U104" s="191">
        <v>0</v>
      </c>
      <c r="V104" s="191">
        <v>0</v>
      </c>
      <c r="W104" s="191">
        <v>0</v>
      </c>
      <c r="X104" s="191">
        <v>0</v>
      </c>
      <c r="Y104" s="191">
        <v>0</v>
      </c>
      <c r="Z104" s="191">
        <v>0</v>
      </c>
      <c r="AA104" s="191">
        <v>0</v>
      </c>
      <c r="AB104" s="191">
        <v>0</v>
      </c>
      <c r="AC104" s="191">
        <v>0</v>
      </c>
      <c r="AD104" s="191">
        <v>0</v>
      </c>
      <c r="AE104" s="191">
        <v>0</v>
      </c>
      <c r="AF104" s="191">
        <v>0</v>
      </c>
      <c r="AG104" s="191">
        <v>0</v>
      </c>
      <c r="AH104" s="191">
        <v>0</v>
      </c>
      <c r="AI104" s="191">
        <v>0</v>
      </c>
      <c r="AJ104" s="191">
        <v>0</v>
      </c>
      <c r="AK104" s="191">
        <v>0</v>
      </c>
      <c r="AL104" s="191">
        <v>0</v>
      </c>
      <c r="AM104" s="191">
        <v>0</v>
      </c>
      <c r="AN104" s="191">
        <v>0</v>
      </c>
      <c r="AO104" s="191">
        <v>0</v>
      </c>
      <c r="AP104" s="191">
        <v>0</v>
      </c>
      <c r="AQ104" s="191">
        <v>0</v>
      </c>
      <c r="AR104" s="191">
        <v>0</v>
      </c>
      <c r="AS104" s="191">
        <v>0</v>
      </c>
      <c r="AT104" s="191">
        <v>0</v>
      </c>
      <c r="AU104" s="191">
        <v>0</v>
      </c>
      <c r="AV104" s="191">
        <v>0</v>
      </c>
    </row>
    <row r="105" spans="2:48" ht="15.6" customHeight="1" outlineLevel="1">
      <c r="B105" s="264"/>
      <c r="C105" s="267"/>
      <c r="D105" s="167" t="s">
        <v>428</v>
      </c>
      <c r="E105" s="199" t="e" cm="1">
        <f t="array" aca="1" ref="E105" ca="1">AVERAGE(_xlfn._xlws.FILTER(G105:AV105, $G$3:$AV$3 &lt;= $E$2))</f>
        <v>#NAME?</v>
      </c>
      <c r="F105" s="188"/>
      <c r="G105" s="191">
        <v>0</v>
      </c>
      <c r="H105" s="191">
        <v>0</v>
      </c>
      <c r="I105" s="191">
        <v>0</v>
      </c>
      <c r="J105" s="191">
        <v>0</v>
      </c>
      <c r="K105" s="191">
        <v>0</v>
      </c>
      <c r="L105" s="191">
        <v>0</v>
      </c>
      <c r="M105" s="191">
        <v>0</v>
      </c>
      <c r="N105" s="191">
        <v>0</v>
      </c>
      <c r="O105" s="191">
        <v>0</v>
      </c>
      <c r="P105" s="191">
        <v>0</v>
      </c>
      <c r="Q105" s="191">
        <v>0</v>
      </c>
      <c r="R105" s="191">
        <v>0</v>
      </c>
      <c r="S105" s="191">
        <v>0</v>
      </c>
      <c r="T105" s="191">
        <v>0</v>
      </c>
      <c r="U105" s="191">
        <v>0</v>
      </c>
      <c r="V105" s="191">
        <v>0</v>
      </c>
      <c r="W105" s="191">
        <v>0</v>
      </c>
      <c r="X105" s="191">
        <v>0</v>
      </c>
      <c r="Y105" s="191">
        <v>0</v>
      </c>
      <c r="Z105" s="191">
        <v>0</v>
      </c>
      <c r="AA105" s="191">
        <v>0</v>
      </c>
      <c r="AB105" s="191">
        <v>0</v>
      </c>
      <c r="AC105" s="191">
        <v>0</v>
      </c>
      <c r="AD105" s="191">
        <v>0</v>
      </c>
      <c r="AE105" s="191">
        <v>0</v>
      </c>
      <c r="AF105" s="191">
        <v>0</v>
      </c>
      <c r="AG105" s="191">
        <v>0</v>
      </c>
      <c r="AH105" s="191">
        <v>0</v>
      </c>
      <c r="AI105" s="191">
        <v>0</v>
      </c>
      <c r="AJ105" s="191">
        <v>0</v>
      </c>
      <c r="AK105" s="191">
        <v>0</v>
      </c>
      <c r="AL105" s="191">
        <v>0</v>
      </c>
      <c r="AM105" s="191">
        <v>0</v>
      </c>
      <c r="AN105" s="191">
        <v>0</v>
      </c>
      <c r="AO105" s="191">
        <v>0</v>
      </c>
      <c r="AP105" s="191">
        <v>0</v>
      </c>
      <c r="AQ105" s="191">
        <v>0</v>
      </c>
      <c r="AR105" s="191">
        <v>0</v>
      </c>
      <c r="AS105" s="191">
        <v>0</v>
      </c>
      <c r="AT105" s="191">
        <v>0</v>
      </c>
      <c r="AU105" s="191">
        <v>0</v>
      </c>
      <c r="AV105" s="191">
        <v>0</v>
      </c>
    </row>
    <row r="106" spans="2:48" ht="15.6" customHeight="1" outlineLevel="1">
      <c r="B106" s="264"/>
      <c r="C106" s="267"/>
      <c r="D106" s="167" t="s">
        <v>429</v>
      </c>
      <c r="E106" s="199" t="e" cm="1">
        <f t="array" aca="1" ref="E106" ca="1">AVERAGE(_xlfn._xlws.FILTER(G106:AV106, $G$3:$AV$3 &lt;= $E$2))</f>
        <v>#NAME?</v>
      </c>
      <c r="F106" s="188"/>
      <c r="G106" s="191">
        <v>0</v>
      </c>
      <c r="H106" s="191">
        <v>0</v>
      </c>
      <c r="I106" s="191">
        <v>0</v>
      </c>
      <c r="J106" s="191">
        <v>0</v>
      </c>
      <c r="K106" s="191">
        <v>0</v>
      </c>
      <c r="L106" s="191">
        <v>0</v>
      </c>
      <c r="M106" s="191">
        <v>0</v>
      </c>
      <c r="N106" s="191">
        <v>0</v>
      </c>
      <c r="O106" s="191">
        <v>0</v>
      </c>
      <c r="P106" s="191">
        <v>0</v>
      </c>
      <c r="Q106" s="191">
        <v>0</v>
      </c>
      <c r="R106" s="191">
        <v>0</v>
      </c>
      <c r="S106" s="191">
        <v>0</v>
      </c>
      <c r="T106" s="191">
        <v>0</v>
      </c>
      <c r="U106" s="191">
        <v>0</v>
      </c>
      <c r="V106" s="191">
        <v>0</v>
      </c>
      <c r="W106" s="191">
        <v>0</v>
      </c>
      <c r="X106" s="191">
        <v>0</v>
      </c>
      <c r="Y106" s="191">
        <v>0</v>
      </c>
      <c r="Z106" s="191">
        <v>0</v>
      </c>
      <c r="AA106" s="191">
        <v>0</v>
      </c>
      <c r="AB106" s="191">
        <v>0</v>
      </c>
      <c r="AC106" s="191">
        <v>0</v>
      </c>
      <c r="AD106" s="191">
        <v>0</v>
      </c>
      <c r="AE106" s="191">
        <v>0</v>
      </c>
      <c r="AF106" s="191">
        <v>0</v>
      </c>
      <c r="AG106" s="191">
        <v>0</v>
      </c>
      <c r="AH106" s="191">
        <v>0</v>
      </c>
      <c r="AI106" s="191">
        <v>0</v>
      </c>
      <c r="AJ106" s="191">
        <v>0</v>
      </c>
      <c r="AK106" s="191">
        <v>0</v>
      </c>
      <c r="AL106" s="191">
        <v>0</v>
      </c>
      <c r="AM106" s="191">
        <v>0</v>
      </c>
      <c r="AN106" s="191">
        <v>0</v>
      </c>
      <c r="AO106" s="191">
        <v>0</v>
      </c>
      <c r="AP106" s="191">
        <v>0</v>
      </c>
      <c r="AQ106" s="191">
        <v>0</v>
      </c>
      <c r="AR106" s="191">
        <v>0</v>
      </c>
      <c r="AS106" s="191">
        <v>0</v>
      </c>
      <c r="AT106" s="191">
        <v>0</v>
      </c>
      <c r="AU106" s="191">
        <v>0</v>
      </c>
      <c r="AV106" s="191">
        <v>0</v>
      </c>
    </row>
    <row r="107" spans="2:48" ht="15.6" customHeight="1" outlineLevel="1">
      <c r="B107" s="264"/>
      <c r="C107" s="267"/>
      <c r="D107" s="167" t="s">
        <v>430</v>
      </c>
      <c r="E107" s="199" t="e" cm="1">
        <f t="array" aca="1" ref="E107" ca="1">AVERAGE(_xlfn._xlws.FILTER(G107:AV107, $G$3:$AV$3 &lt;= $E$2))</f>
        <v>#NAME?</v>
      </c>
      <c r="F107" s="188"/>
      <c r="G107" s="191">
        <v>0</v>
      </c>
      <c r="H107" s="191">
        <v>0</v>
      </c>
      <c r="I107" s="191">
        <v>0</v>
      </c>
      <c r="J107" s="191">
        <v>0</v>
      </c>
      <c r="K107" s="191">
        <v>0</v>
      </c>
      <c r="L107" s="191">
        <v>0</v>
      </c>
      <c r="M107" s="191">
        <v>0</v>
      </c>
      <c r="N107" s="191">
        <v>0</v>
      </c>
      <c r="O107" s="191">
        <v>0</v>
      </c>
      <c r="P107" s="191">
        <v>0</v>
      </c>
      <c r="Q107" s="191">
        <v>0</v>
      </c>
      <c r="R107" s="191">
        <v>0</v>
      </c>
      <c r="S107" s="191">
        <v>0</v>
      </c>
      <c r="T107" s="191">
        <v>0</v>
      </c>
      <c r="U107" s="191">
        <v>0</v>
      </c>
      <c r="V107" s="191">
        <v>0</v>
      </c>
      <c r="W107" s="191">
        <v>0</v>
      </c>
      <c r="X107" s="191">
        <v>0</v>
      </c>
      <c r="Y107" s="191">
        <v>0</v>
      </c>
      <c r="Z107" s="191">
        <v>0</v>
      </c>
      <c r="AA107" s="191">
        <v>0</v>
      </c>
      <c r="AB107" s="191">
        <v>0</v>
      </c>
      <c r="AC107" s="191">
        <v>0</v>
      </c>
      <c r="AD107" s="191">
        <v>0</v>
      </c>
      <c r="AE107" s="191">
        <v>0</v>
      </c>
      <c r="AF107" s="191">
        <v>0</v>
      </c>
      <c r="AG107" s="191">
        <v>0</v>
      </c>
      <c r="AH107" s="191">
        <v>0</v>
      </c>
      <c r="AI107" s="191">
        <v>0</v>
      </c>
      <c r="AJ107" s="191">
        <v>0</v>
      </c>
      <c r="AK107" s="191">
        <v>0</v>
      </c>
      <c r="AL107" s="191">
        <v>0</v>
      </c>
      <c r="AM107" s="191">
        <v>0</v>
      </c>
      <c r="AN107" s="191">
        <v>0</v>
      </c>
      <c r="AO107" s="191">
        <v>0</v>
      </c>
      <c r="AP107" s="191">
        <v>0</v>
      </c>
      <c r="AQ107" s="191">
        <v>0</v>
      </c>
      <c r="AR107" s="191">
        <v>0</v>
      </c>
      <c r="AS107" s="191">
        <v>0</v>
      </c>
      <c r="AT107" s="191">
        <v>0</v>
      </c>
      <c r="AU107" s="191">
        <v>0</v>
      </c>
      <c r="AV107" s="191">
        <v>0</v>
      </c>
    </row>
    <row r="108" spans="2:48" ht="15.6" customHeight="1" outlineLevel="1">
      <c r="B108" s="264"/>
      <c r="C108" s="267"/>
      <c r="D108" s="167" t="s">
        <v>431</v>
      </c>
      <c r="E108" s="199" t="e" cm="1">
        <f t="array" aca="1" ref="E108" ca="1">AVERAGE(_xlfn._xlws.FILTER(G108:AV108, $G$3:$AV$3 &lt;= $E$2))</f>
        <v>#NAME?</v>
      </c>
      <c r="F108" s="188"/>
      <c r="G108" s="191">
        <v>0</v>
      </c>
      <c r="H108" s="191">
        <v>0</v>
      </c>
      <c r="I108" s="191">
        <v>0</v>
      </c>
      <c r="J108" s="191">
        <v>0</v>
      </c>
      <c r="K108" s="191">
        <v>0</v>
      </c>
      <c r="L108" s="191">
        <v>0</v>
      </c>
      <c r="M108" s="191">
        <v>0</v>
      </c>
      <c r="N108" s="191">
        <v>0</v>
      </c>
      <c r="O108" s="191">
        <v>0</v>
      </c>
      <c r="P108" s="191">
        <v>0</v>
      </c>
      <c r="Q108" s="191">
        <v>0</v>
      </c>
      <c r="R108" s="191">
        <v>0</v>
      </c>
      <c r="S108" s="191">
        <v>0</v>
      </c>
      <c r="T108" s="191">
        <v>0</v>
      </c>
      <c r="U108" s="191">
        <v>0</v>
      </c>
      <c r="V108" s="191">
        <v>0</v>
      </c>
      <c r="W108" s="191">
        <v>0</v>
      </c>
      <c r="X108" s="191">
        <v>0</v>
      </c>
      <c r="Y108" s="191">
        <v>0</v>
      </c>
      <c r="Z108" s="191">
        <v>0</v>
      </c>
      <c r="AA108" s="191">
        <v>0</v>
      </c>
      <c r="AB108" s="191">
        <v>0</v>
      </c>
      <c r="AC108" s="191">
        <v>0</v>
      </c>
      <c r="AD108" s="191">
        <v>0</v>
      </c>
      <c r="AE108" s="191">
        <v>0</v>
      </c>
      <c r="AF108" s="191">
        <v>0</v>
      </c>
      <c r="AG108" s="191">
        <v>0</v>
      </c>
      <c r="AH108" s="191">
        <v>0</v>
      </c>
      <c r="AI108" s="191">
        <v>0</v>
      </c>
      <c r="AJ108" s="191">
        <v>0</v>
      </c>
      <c r="AK108" s="191">
        <v>0</v>
      </c>
      <c r="AL108" s="191">
        <v>0</v>
      </c>
      <c r="AM108" s="191">
        <v>0</v>
      </c>
      <c r="AN108" s="191">
        <v>0</v>
      </c>
      <c r="AO108" s="191">
        <v>0</v>
      </c>
      <c r="AP108" s="191">
        <v>0</v>
      </c>
      <c r="AQ108" s="191">
        <v>0</v>
      </c>
      <c r="AR108" s="191">
        <v>0</v>
      </c>
      <c r="AS108" s="191">
        <v>0</v>
      </c>
      <c r="AT108" s="191">
        <v>0</v>
      </c>
      <c r="AU108" s="191">
        <v>0</v>
      </c>
      <c r="AV108" s="191">
        <v>0</v>
      </c>
    </row>
    <row r="109" spans="2:48" ht="15.6" customHeight="1" outlineLevel="1">
      <c r="B109" s="264"/>
      <c r="C109" s="267"/>
      <c r="D109" s="167" t="s">
        <v>432</v>
      </c>
      <c r="E109" s="199" t="e" cm="1">
        <f t="array" aca="1" ref="E109" ca="1">AVERAGE(_xlfn._xlws.FILTER(G109:AV109, $G$3:$AV$3 &lt;= $E$2))</f>
        <v>#NAME?</v>
      </c>
      <c r="F109" s="188"/>
      <c r="G109" s="191">
        <v>0</v>
      </c>
      <c r="H109" s="191">
        <v>0</v>
      </c>
      <c r="I109" s="191">
        <v>0</v>
      </c>
      <c r="J109" s="191">
        <v>0</v>
      </c>
      <c r="K109" s="191">
        <v>0</v>
      </c>
      <c r="L109" s="191">
        <v>0</v>
      </c>
      <c r="M109" s="191">
        <v>0</v>
      </c>
      <c r="N109" s="191">
        <v>0</v>
      </c>
      <c r="O109" s="191">
        <v>0</v>
      </c>
      <c r="P109" s="191">
        <v>0</v>
      </c>
      <c r="Q109" s="191">
        <v>0</v>
      </c>
      <c r="R109" s="191">
        <v>0</v>
      </c>
      <c r="S109" s="191">
        <v>0</v>
      </c>
      <c r="T109" s="191">
        <v>0</v>
      </c>
      <c r="U109" s="191">
        <v>0</v>
      </c>
      <c r="V109" s="191">
        <v>0</v>
      </c>
      <c r="W109" s="191">
        <v>0</v>
      </c>
      <c r="X109" s="191">
        <v>0</v>
      </c>
      <c r="Y109" s="191">
        <v>0</v>
      </c>
      <c r="Z109" s="191">
        <v>0</v>
      </c>
      <c r="AA109" s="191">
        <v>0</v>
      </c>
      <c r="AB109" s="191">
        <v>0</v>
      </c>
      <c r="AC109" s="191">
        <v>0</v>
      </c>
      <c r="AD109" s="191">
        <v>0</v>
      </c>
      <c r="AE109" s="191">
        <v>0</v>
      </c>
      <c r="AF109" s="191">
        <v>0</v>
      </c>
      <c r="AG109" s="191">
        <v>0</v>
      </c>
      <c r="AH109" s="191">
        <v>0</v>
      </c>
      <c r="AI109" s="191">
        <v>0</v>
      </c>
      <c r="AJ109" s="191">
        <v>0</v>
      </c>
      <c r="AK109" s="191">
        <v>0</v>
      </c>
      <c r="AL109" s="191">
        <v>0</v>
      </c>
      <c r="AM109" s="191">
        <v>0</v>
      </c>
      <c r="AN109" s="191">
        <v>0</v>
      </c>
      <c r="AO109" s="191">
        <v>0</v>
      </c>
      <c r="AP109" s="191">
        <v>0</v>
      </c>
      <c r="AQ109" s="191">
        <v>0</v>
      </c>
      <c r="AR109" s="191">
        <v>0</v>
      </c>
      <c r="AS109" s="191">
        <v>0</v>
      </c>
      <c r="AT109" s="191">
        <v>0</v>
      </c>
      <c r="AU109" s="191">
        <v>0</v>
      </c>
      <c r="AV109" s="191">
        <v>0</v>
      </c>
    </row>
    <row r="110" spans="2:48" ht="15.6" customHeight="1" outlineLevel="1">
      <c r="B110" s="264"/>
      <c r="C110" s="267"/>
      <c r="D110" s="167"/>
      <c r="E110" s="199" t="e" cm="1">
        <f t="array" aca="1" ref="E110" ca="1">AVERAGE(_xlfn._xlws.FILTER(G110:AV110, $G$3:$AV$3 &lt;= $E$2))</f>
        <v>#NAME?</v>
      </c>
      <c r="F110" s="188"/>
      <c r="G110" s="191">
        <v>0</v>
      </c>
      <c r="H110" s="191">
        <v>0</v>
      </c>
      <c r="I110" s="191">
        <v>0</v>
      </c>
      <c r="J110" s="191">
        <v>0</v>
      </c>
      <c r="K110" s="191">
        <v>0</v>
      </c>
      <c r="L110" s="191">
        <v>0</v>
      </c>
      <c r="M110" s="191">
        <v>0</v>
      </c>
      <c r="N110" s="191">
        <v>0</v>
      </c>
      <c r="O110" s="191">
        <v>0</v>
      </c>
      <c r="P110" s="191">
        <v>0</v>
      </c>
      <c r="Q110" s="191">
        <v>0</v>
      </c>
      <c r="R110" s="191">
        <v>0</v>
      </c>
      <c r="S110" s="191">
        <v>0</v>
      </c>
      <c r="T110" s="191">
        <v>0</v>
      </c>
      <c r="U110" s="191">
        <v>0</v>
      </c>
      <c r="V110" s="191">
        <v>0</v>
      </c>
      <c r="W110" s="191">
        <v>0</v>
      </c>
      <c r="X110" s="191">
        <v>0</v>
      </c>
      <c r="Y110" s="191">
        <v>0</v>
      </c>
      <c r="Z110" s="191">
        <v>0</v>
      </c>
      <c r="AA110" s="191">
        <v>0</v>
      </c>
      <c r="AB110" s="191">
        <v>0</v>
      </c>
      <c r="AC110" s="191">
        <v>0</v>
      </c>
      <c r="AD110" s="191">
        <v>0</v>
      </c>
      <c r="AE110" s="191">
        <v>0</v>
      </c>
      <c r="AF110" s="191">
        <v>0</v>
      </c>
      <c r="AG110" s="191">
        <v>0</v>
      </c>
      <c r="AH110" s="191">
        <v>0</v>
      </c>
      <c r="AI110" s="191">
        <v>0</v>
      </c>
      <c r="AJ110" s="191">
        <v>0</v>
      </c>
      <c r="AK110" s="191">
        <v>0</v>
      </c>
      <c r="AL110" s="191">
        <v>0</v>
      </c>
      <c r="AM110" s="191">
        <v>0</v>
      </c>
      <c r="AN110" s="191">
        <v>0</v>
      </c>
      <c r="AO110" s="191">
        <v>0</v>
      </c>
      <c r="AP110" s="191">
        <v>0</v>
      </c>
      <c r="AQ110" s="191">
        <v>0</v>
      </c>
      <c r="AR110" s="191">
        <v>0</v>
      </c>
      <c r="AS110" s="191">
        <v>0</v>
      </c>
      <c r="AT110" s="191">
        <v>0</v>
      </c>
      <c r="AU110" s="191">
        <v>0</v>
      </c>
      <c r="AV110" s="191">
        <v>0</v>
      </c>
    </row>
    <row r="111" spans="2:48" ht="15" customHeight="1"/>
    <row r="112" spans="2:48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299" ht="15" customHeight="1"/>
    <row r="300" ht="15" customHeight="1"/>
    <row r="301" ht="15" customHeight="1"/>
    <row r="302" ht="15" customHeight="1"/>
    <row r="303" ht="15" customHeight="1"/>
    <row r="304" ht="15" customHeight="1"/>
    <row r="305" ht="15" customHeight="1"/>
    <row r="306" ht="15" customHeight="1"/>
    <row r="307" ht="15" customHeight="1"/>
    <row r="308" ht="15" customHeight="1"/>
    <row r="309" ht="15" customHeight="1"/>
    <row r="310" ht="15" customHeight="1"/>
    <row r="311" ht="15" customHeight="1"/>
    <row r="312" ht="15" customHeight="1"/>
    <row r="313" ht="15" customHeight="1"/>
    <row r="314" ht="15" customHeight="1"/>
    <row r="315" ht="15" customHeight="1"/>
    <row r="316" ht="15" customHeight="1"/>
    <row r="317" ht="15" customHeight="1"/>
    <row r="318" ht="15" customHeight="1"/>
    <row r="319" ht="15" customHeight="1"/>
    <row r="320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46" ht="15" customHeight="1"/>
    <row r="347" ht="15" customHeight="1"/>
    <row r="348" ht="15" customHeight="1"/>
    <row r="349" ht="15" customHeight="1"/>
    <row r="350" ht="15" customHeight="1"/>
    <row r="351" ht="15" customHeight="1"/>
    <row r="352" ht="15" customHeight="1"/>
    <row r="353" ht="15" customHeight="1"/>
    <row r="354" ht="15" customHeight="1"/>
    <row r="355" ht="15" customHeight="1"/>
    <row r="356" ht="15" customHeight="1"/>
    <row r="357" ht="15" customHeight="1"/>
    <row r="358" ht="15" customHeight="1"/>
    <row r="359" ht="15" customHeight="1"/>
    <row r="360" ht="15" customHeight="1"/>
    <row r="361" ht="15" customHeight="1"/>
    <row r="362" ht="15" customHeight="1"/>
    <row r="363" ht="15" customHeight="1"/>
    <row r="364" ht="15" customHeight="1"/>
    <row r="365" ht="15" customHeight="1"/>
    <row r="366" ht="15" customHeight="1"/>
    <row r="367" ht="15" customHeight="1"/>
    <row r="368" ht="15" customHeight="1"/>
    <row r="369" ht="15" customHeight="1"/>
    <row r="370" ht="15" customHeight="1"/>
    <row r="371" ht="15" customHeight="1"/>
    <row r="372" ht="15" customHeight="1"/>
    <row r="373" ht="15" customHeight="1"/>
    <row r="374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5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2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2" ht="15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5" customHeight="1"/>
    <row r="410" ht="15" customHeight="1"/>
    <row r="411" ht="15" customHeight="1"/>
    <row r="412" ht="15" customHeight="1"/>
    <row r="413" ht="15" customHeight="1"/>
    <row r="414" ht="15" customHeight="1"/>
    <row r="415" ht="15" customHeight="1"/>
    <row r="416" ht="15" customHeight="1"/>
    <row r="417" ht="15" customHeight="1"/>
    <row r="418" ht="15" customHeight="1"/>
    <row r="419" ht="15" customHeight="1"/>
    <row r="420" ht="15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  <row r="427" ht="15" customHeight="1"/>
    <row r="428" ht="15" customHeight="1"/>
    <row r="429" ht="15" customHeight="1"/>
    <row r="430" ht="15" customHeight="1"/>
    <row r="431" ht="15" customHeight="1"/>
    <row r="432" ht="15" customHeight="1"/>
    <row r="433" ht="15" customHeight="1"/>
    <row r="434" ht="15" customHeight="1"/>
    <row r="435" ht="15" customHeight="1"/>
    <row r="436" ht="15" customHeight="1"/>
    <row r="437" ht="15" customHeight="1"/>
    <row r="438" ht="15" customHeight="1"/>
    <row r="439" ht="15" customHeight="1"/>
    <row r="440" ht="15" customHeight="1"/>
    <row r="441" ht="15" customHeight="1"/>
    <row r="442" ht="15" customHeight="1"/>
    <row r="443" ht="15" customHeight="1"/>
    <row r="444" ht="15" customHeight="1"/>
    <row r="445" ht="15" customHeight="1"/>
    <row r="446" ht="15" customHeight="1"/>
    <row r="447" ht="15" customHeight="1"/>
    <row r="448" ht="15" customHeight="1"/>
    <row r="449" ht="15" customHeight="1"/>
    <row r="450" ht="15" customHeight="1"/>
    <row r="451" ht="15" customHeight="1"/>
    <row r="452" ht="15" customHeight="1"/>
    <row r="453" ht="15" customHeight="1"/>
    <row r="454" ht="15" customHeight="1"/>
    <row r="455" ht="15" customHeight="1"/>
    <row r="456" ht="15" customHeight="1"/>
    <row r="457" ht="15" customHeight="1"/>
    <row r="458" ht="15" customHeight="1"/>
    <row r="459" ht="15" customHeight="1"/>
    <row r="460" ht="15" customHeight="1"/>
    <row r="461" ht="15" customHeight="1"/>
    <row r="462" ht="15" customHeight="1"/>
    <row r="463" ht="15" customHeight="1"/>
    <row r="464" ht="15" customHeight="1"/>
    <row r="465" ht="15" customHeight="1"/>
    <row r="466" ht="15" customHeight="1"/>
    <row r="467" ht="15" customHeight="1"/>
    <row r="468" ht="15" customHeight="1"/>
    <row r="469" ht="15" customHeight="1"/>
    <row r="470" ht="15" customHeight="1"/>
    <row r="471" ht="15" customHeight="1"/>
    <row r="472" ht="15" customHeight="1"/>
    <row r="473" ht="15" customHeight="1"/>
    <row r="474" ht="15" customHeight="1"/>
    <row r="475" ht="15" customHeight="1"/>
    <row r="476" ht="15" customHeight="1"/>
    <row r="477" ht="15" customHeight="1"/>
    <row r="478" ht="15" customHeight="1"/>
    <row r="479" ht="15" customHeight="1"/>
    <row r="480" ht="15" customHeight="1"/>
    <row r="481" ht="15" customHeight="1"/>
    <row r="482" ht="15" customHeight="1"/>
    <row r="483" ht="15" customHeight="1"/>
    <row r="484" ht="15" customHeight="1"/>
    <row r="485" ht="15" customHeight="1"/>
    <row r="486" ht="15" customHeight="1"/>
    <row r="487" ht="15" customHeight="1"/>
    <row r="488" ht="15" customHeight="1"/>
    <row r="489" ht="15" customHeight="1"/>
    <row r="490" ht="15" customHeight="1"/>
    <row r="491" ht="15" customHeight="1"/>
    <row r="492" ht="15" customHeight="1"/>
    <row r="493" ht="15" customHeight="1"/>
    <row r="494" ht="15" customHeight="1"/>
    <row r="495" ht="15" customHeight="1"/>
    <row r="496" ht="15" customHeight="1"/>
    <row r="497" ht="15" customHeight="1"/>
    <row r="498" ht="15" customHeight="1"/>
    <row r="499" ht="15" customHeight="1"/>
    <row r="500" ht="15" customHeight="1"/>
    <row r="501" ht="15" customHeight="1"/>
    <row r="502" ht="15" customHeight="1"/>
    <row r="503" ht="15" customHeight="1"/>
    <row r="504" ht="15" customHeight="1"/>
    <row r="505" ht="15" customHeight="1"/>
    <row r="506" ht="15" customHeight="1"/>
    <row r="507" ht="15" customHeight="1"/>
    <row r="508" ht="15" customHeight="1"/>
    <row r="509" ht="15" customHeight="1"/>
    <row r="510" ht="15" customHeight="1"/>
    <row r="511" ht="15" customHeight="1"/>
    <row r="512" ht="15" customHeight="1"/>
    <row r="513" ht="15" customHeight="1"/>
    <row r="514" ht="15" customHeight="1"/>
    <row r="515" ht="15" customHeight="1"/>
    <row r="516" ht="15" customHeight="1"/>
    <row r="517" ht="15" customHeight="1"/>
    <row r="518" ht="15" customHeight="1"/>
    <row r="519" ht="15" customHeight="1"/>
    <row r="520" ht="15" customHeight="1"/>
    <row r="521" ht="15" customHeight="1"/>
    <row r="522" ht="15" customHeight="1"/>
    <row r="523" ht="15" customHeight="1"/>
    <row r="524" ht="15" customHeight="1"/>
    <row r="525" ht="15" customHeight="1"/>
    <row r="526" ht="15" customHeight="1"/>
    <row r="527" ht="15" customHeight="1"/>
    <row r="528" ht="15" customHeight="1"/>
    <row r="529" ht="15" customHeight="1"/>
    <row r="530" ht="15" customHeight="1"/>
    <row r="531" ht="15" customHeight="1"/>
    <row r="532" ht="15" customHeight="1"/>
    <row r="533" ht="15" customHeight="1"/>
    <row r="534" ht="15" customHeight="1"/>
    <row r="535" ht="15" customHeight="1"/>
    <row r="536" ht="15" customHeight="1"/>
    <row r="537" ht="15" customHeight="1"/>
    <row r="538" ht="15" customHeight="1"/>
    <row r="539" ht="15" customHeight="1"/>
    <row r="540" ht="15" customHeight="1"/>
    <row r="541" ht="15" customHeight="1"/>
    <row r="542" ht="15" customHeight="1"/>
    <row r="543" ht="15" customHeight="1"/>
    <row r="544" ht="15" customHeight="1"/>
    <row r="545" ht="15" customHeight="1"/>
    <row r="546" ht="15" customHeight="1"/>
    <row r="547" ht="15" customHeight="1"/>
    <row r="548" ht="15" customHeight="1"/>
    <row r="549" ht="15" customHeight="1"/>
    <row r="550" ht="15" customHeight="1"/>
    <row r="551" ht="15" customHeight="1"/>
    <row r="552" ht="15" customHeight="1"/>
  </sheetData>
  <mergeCells count="6">
    <mergeCell ref="B27:C36"/>
    <mergeCell ref="B6:C26"/>
    <mergeCell ref="B38:B110"/>
    <mergeCell ref="C38:C64"/>
    <mergeCell ref="C70:C98"/>
    <mergeCell ref="C99:C110"/>
  </mergeCells>
  <phoneticPr fontId="1" type="noConversion"/>
  <conditionalFormatting sqref="A2:XFD1048576">
    <cfRule type="cellIs" dxfId="139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topLeftCell="A5" workbookViewId="0">
      <selection activeCell="AA9" sqref="AA9"/>
    </sheetView>
  </sheetViews>
  <sheetFormatPr defaultRowHeight="16.5"/>
  <sheetData/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7"/>
  <sheetViews>
    <sheetView workbookViewId="0">
      <selection activeCell="E22" sqref="E22"/>
    </sheetView>
  </sheetViews>
  <sheetFormatPr defaultRowHeight="16.5"/>
  <sheetData>
    <row r="1" spans="1:12">
      <c r="B1" t="s">
        <v>0</v>
      </c>
      <c r="C1" t="s">
        <v>1</v>
      </c>
      <c r="D1" t="s">
        <v>2</v>
      </c>
      <c r="E1" t="s">
        <v>3</v>
      </c>
      <c r="G1" t="s">
        <v>4</v>
      </c>
      <c r="H1">
        <v>50</v>
      </c>
      <c r="I1">
        <v>100</v>
      </c>
      <c r="J1">
        <v>40</v>
      </c>
      <c r="K1">
        <v>135</v>
      </c>
      <c r="L1">
        <v>15</v>
      </c>
    </row>
    <row r="2" spans="1:12">
      <c r="B2" t="s">
        <v>5</v>
      </c>
      <c r="C2">
        <v>0</v>
      </c>
      <c r="D2">
        <v>70</v>
      </c>
      <c r="H2">
        <v>20</v>
      </c>
      <c r="I2">
        <v>100</v>
      </c>
      <c r="J2">
        <v>15</v>
      </c>
      <c r="K2">
        <v>135</v>
      </c>
      <c r="L2">
        <v>8</v>
      </c>
    </row>
    <row r="3" spans="1:12">
      <c r="B3" t="s">
        <v>6</v>
      </c>
      <c r="C3">
        <v>75</v>
      </c>
      <c r="D3">
        <v>70</v>
      </c>
    </row>
    <row r="5" spans="1:12">
      <c r="B5" t="s">
        <v>7</v>
      </c>
      <c r="C5">
        <v>0</v>
      </c>
      <c r="D5">
        <v>135</v>
      </c>
    </row>
    <row r="6" spans="1:12">
      <c r="B6" t="s">
        <v>8</v>
      </c>
      <c r="C6">
        <v>55</v>
      </c>
      <c r="D6">
        <v>135</v>
      </c>
    </row>
    <row r="7" spans="1:12">
      <c r="A7" t="s">
        <v>9</v>
      </c>
      <c r="B7" t="s">
        <v>10</v>
      </c>
      <c r="C7">
        <v>0</v>
      </c>
      <c r="D7">
        <v>90</v>
      </c>
    </row>
    <row r="8" spans="1:12">
      <c r="A8" t="s">
        <v>9</v>
      </c>
      <c r="B8" t="s">
        <v>11</v>
      </c>
      <c r="C8">
        <v>50</v>
      </c>
      <c r="D8">
        <v>90</v>
      </c>
    </row>
    <row r="9" spans="1:12">
      <c r="A9" t="s">
        <v>9</v>
      </c>
      <c r="B9" t="s">
        <v>12</v>
      </c>
      <c r="C9">
        <v>95</v>
      </c>
      <c r="D9">
        <v>90</v>
      </c>
    </row>
    <row r="11" spans="1:12">
      <c r="B11" t="s">
        <v>12</v>
      </c>
      <c r="C11">
        <v>0</v>
      </c>
      <c r="D11">
        <v>45</v>
      </c>
    </row>
    <row r="12" spans="1:12">
      <c r="B12" t="s">
        <v>13</v>
      </c>
      <c r="C12">
        <v>85</v>
      </c>
      <c r="D12">
        <v>45</v>
      </c>
    </row>
    <row r="13" spans="1:12">
      <c r="A13" t="s">
        <v>9</v>
      </c>
      <c r="B13" t="s">
        <v>10</v>
      </c>
      <c r="C13">
        <v>0</v>
      </c>
      <c r="D13">
        <v>90</v>
      </c>
    </row>
    <row r="14" spans="1:12">
      <c r="A14" t="s">
        <v>9</v>
      </c>
      <c r="B14" t="s">
        <v>11</v>
      </c>
      <c r="C14">
        <v>75</v>
      </c>
      <c r="D14">
        <v>90</v>
      </c>
    </row>
    <row r="15" spans="1:12">
      <c r="A15" t="s">
        <v>9</v>
      </c>
      <c r="B15" t="s">
        <v>12</v>
      </c>
      <c r="C15">
        <v>100</v>
      </c>
      <c r="D15">
        <v>90</v>
      </c>
    </row>
    <row r="17" spans="1:4">
      <c r="B17" t="s">
        <v>14</v>
      </c>
      <c r="C17">
        <v>0</v>
      </c>
      <c r="D17">
        <v>45</v>
      </c>
    </row>
    <row r="18" spans="1:4">
      <c r="B18" t="s">
        <v>15</v>
      </c>
      <c r="C18">
        <v>85</v>
      </c>
      <c r="D18">
        <v>45</v>
      </c>
    </row>
    <row r="19" spans="1:4">
      <c r="A19" t="s">
        <v>9</v>
      </c>
      <c r="B19" t="s">
        <v>10</v>
      </c>
      <c r="C19">
        <v>0</v>
      </c>
      <c r="D19">
        <v>90</v>
      </c>
    </row>
    <row r="20" spans="1:4">
      <c r="A20" t="s">
        <v>9</v>
      </c>
      <c r="B20" t="s">
        <v>11</v>
      </c>
      <c r="C20">
        <v>85</v>
      </c>
      <c r="D20">
        <v>90</v>
      </c>
    </row>
    <row r="21" spans="1:4">
      <c r="A21" t="s">
        <v>9</v>
      </c>
      <c r="B21" t="s">
        <v>12</v>
      </c>
      <c r="C21">
        <v>95</v>
      </c>
      <c r="D21">
        <v>90</v>
      </c>
    </row>
    <row r="23" spans="1:4">
      <c r="B23" t="s">
        <v>16</v>
      </c>
      <c r="C23">
        <v>0</v>
      </c>
      <c r="D23">
        <v>45</v>
      </c>
    </row>
    <row r="24" spans="1:4">
      <c r="B24" t="s">
        <v>17</v>
      </c>
      <c r="C24">
        <v>85</v>
      </c>
      <c r="D24">
        <v>45</v>
      </c>
    </row>
    <row r="25" spans="1:4">
      <c r="A25" t="s">
        <v>9</v>
      </c>
      <c r="B25" t="s">
        <v>10</v>
      </c>
      <c r="C25">
        <v>0</v>
      </c>
      <c r="D25">
        <v>90</v>
      </c>
    </row>
    <row r="26" spans="1:4">
      <c r="A26" t="s">
        <v>9</v>
      </c>
      <c r="B26" t="s">
        <v>11</v>
      </c>
      <c r="C26">
        <v>75</v>
      </c>
      <c r="D26">
        <v>90</v>
      </c>
    </row>
    <row r="27" spans="1:4">
      <c r="A27" t="s">
        <v>9</v>
      </c>
      <c r="B27" t="s">
        <v>12</v>
      </c>
      <c r="C27">
        <v>100</v>
      </c>
      <c r="D27">
        <v>90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51"/>
  <sheetViews>
    <sheetView zoomScaleNormal="100" zoomScaleSheetLayoutView="100" workbookViewId="0">
      <selection activeCell="F51" sqref="F51"/>
    </sheetView>
  </sheetViews>
  <sheetFormatPr defaultColWidth="9.5" defaultRowHeight="15.75"/>
  <cols>
    <col min="1" max="1" width="3.625" style="1" customWidth="1"/>
    <col min="2" max="2" width="32" style="1" bestFit="1" customWidth="1"/>
    <col min="3" max="3" width="36.75" style="1" bestFit="1" customWidth="1"/>
    <col min="4" max="4" width="9.875" style="1" bestFit="1" customWidth="1"/>
    <col min="5" max="5" width="5.25" style="5" bestFit="1" customWidth="1"/>
    <col min="6" max="6" width="19.625" style="1" bestFit="1" customWidth="1"/>
    <col min="7" max="7" width="14.25" style="1" bestFit="1" customWidth="1"/>
    <col min="8" max="8" width="15.625" style="1" bestFit="1" customWidth="1"/>
    <col min="9" max="9" width="3.625" style="1" customWidth="1"/>
    <col min="10" max="10" width="29.75" style="1" bestFit="1" customWidth="1"/>
    <col min="11" max="11" width="27.625" style="1" customWidth="1"/>
    <col min="12" max="12" width="23.75" style="1" bestFit="1" customWidth="1"/>
    <col min="13" max="13" width="3.625" style="1" customWidth="1"/>
    <col min="14" max="16384" width="9.5" style="1"/>
  </cols>
  <sheetData>
    <row r="1" spans="1:13">
      <c r="A1" s="6"/>
      <c r="B1" s="6"/>
      <c r="C1" s="6"/>
      <c r="D1" s="7"/>
      <c r="E1" s="20"/>
    </row>
    <row r="2" spans="1:13" ht="16.5">
      <c r="A2" s="3"/>
      <c r="B2" s="268" t="s">
        <v>18</v>
      </c>
      <c r="C2" s="269"/>
      <c r="D2" s="269"/>
      <c r="E2" s="269"/>
      <c r="F2" s="269"/>
      <c r="G2" s="269"/>
      <c r="H2" s="269"/>
      <c r="I2" s="269"/>
      <c r="J2" s="269"/>
      <c r="K2" s="269"/>
      <c r="L2" s="270"/>
    </row>
    <row r="3" spans="1:13" ht="16.5" thickBot="1">
      <c r="A3" s="6"/>
      <c r="B3" s="6"/>
      <c r="C3" s="48" t="s">
        <v>19</v>
      </c>
      <c r="D3" s="49" t="s">
        <v>20</v>
      </c>
      <c r="E3" s="49"/>
      <c r="F3" s="48" t="s">
        <v>21</v>
      </c>
      <c r="G3" s="48" t="s">
        <v>22</v>
      </c>
      <c r="H3" s="48" t="s">
        <v>23</v>
      </c>
      <c r="K3" s="3"/>
      <c r="L3" s="202" t="s">
        <v>24</v>
      </c>
      <c r="M3" s="7"/>
    </row>
    <row r="4" spans="1:13" ht="16.5" thickBot="1">
      <c r="A4" s="6"/>
      <c r="B4" s="50" t="s">
        <v>25</v>
      </c>
      <c r="C4" s="12" t="s">
        <v>26</v>
      </c>
      <c r="D4" s="29" t="s">
        <v>27</v>
      </c>
      <c r="E4" s="21">
        <v>0</v>
      </c>
      <c r="F4" s="37">
        <f>'現金流量表(連動)'!$E$5*E4</f>
        <v>0</v>
      </c>
      <c r="G4" s="45">
        <f>資產負債表!C33</f>
        <v>3435680</v>
      </c>
      <c r="H4" s="45">
        <f>G4-F4</f>
        <v>3435680</v>
      </c>
      <c r="J4" s="1" t="s">
        <v>28</v>
      </c>
      <c r="K4" s="3" t="s">
        <v>29</v>
      </c>
      <c r="L4" s="62" t="s">
        <v>30</v>
      </c>
      <c r="M4" s="7"/>
    </row>
    <row r="5" spans="1:13">
      <c r="A5" s="2"/>
      <c r="B5" s="231" t="s">
        <v>31</v>
      </c>
      <c r="C5" s="13" t="s">
        <v>32</v>
      </c>
      <c r="D5" s="30" t="s">
        <v>27</v>
      </c>
      <c r="E5" s="22">
        <v>1</v>
      </c>
      <c r="F5" s="38">
        <f>'現金流量表(連動)'!$E$5*E5</f>
        <v>76000</v>
      </c>
      <c r="G5" s="38">
        <f>資產負債表!C4</f>
        <v>10000</v>
      </c>
      <c r="H5" s="38">
        <f>G5-F5</f>
        <v>-66000</v>
      </c>
      <c r="J5" s="1" t="s">
        <v>33</v>
      </c>
      <c r="K5" s="3" t="s">
        <v>34</v>
      </c>
      <c r="L5" s="63" t="s">
        <v>35</v>
      </c>
      <c r="M5" s="7"/>
    </row>
    <row r="6" spans="1:13">
      <c r="A6" s="3"/>
      <c r="B6" s="232">
        <f>資產負債表!K2/('現金流量表(連動)'!E5*12)</f>
        <v>0.15350877192982457</v>
      </c>
      <c r="C6" s="13" t="s">
        <v>36</v>
      </c>
      <c r="D6" s="30" t="s">
        <v>27</v>
      </c>
      <c r="E6" s="22">
        <v>1</v>
      </c>
      <c r="F6" s="38">
        <f>'現金流量表(連動)'!$E$5*E6</f>
        <v>76000</v>
      </c>
      <c r="G6" s="38">
        <f>資產負債表!Q13+資產負債表!Q16</f>
        <v>20000</v>
      </c>
      <c r="H6" s="38">
        <f t="shared" ref="H6:H30" si="0">G6-F6</f>
        <v>-56000</v>
      </c>
      <c r="I6" s="7"/>
      <c r="J6" s="1" t="s">
        <v>37</v>
      </c>
      <c r="K6" s="3" t="s">
        <v>38</v>
      </c>
      <c r="L6" s="63" t="s">
        <v>39</v>
      </c>
      <c r="M6" s="7"/>
    </row>
    <row r="7" spans="1:13">
      <c r="A7" s="3"/>
      <c r="B7" s="52"/>
      <c r="C7" s="13" t="s">
        <v>40</v>
      </c>
      <c r="D7" s="30" t="s">
        <v>27</v>
      </c>
      <c r="E7" s="22">
        <v>2</v>
      </c>
      <c r="F7" s="38">
        <f>'現金流量表(連動)'!$E$5*E7</f>
        <v>152000</v>
      </c>
      <c r="G7" s="38">
        <f>資產負債表!C5</f>
        <v>0</v>
      </c>
      <c r="H7" s="54">
        <f t="shared" si="0"/>
        <v>-152000</v>
      </c>
      <c r="I7" s="162"/>
      <c r="J7" s="162" t="s">
        <v>41</v>
      </c>
      <c r="K7" s="164"/>
      <c r="L7" s="62" t="s">
        <v>42</v>
      </c>
      <c r="M7" s="7"/>
    </row>
    <row r="8" spans="1:13">
      <c r="A8" s="3"/>
      <c r="B8" s="50" t="s">
        <v>43</v>
      </c>
      <c r="C8" s="14" t="s">
        <v>44</v>
      </c>
      <c r="D8" s="31" t="s">
        <v>27</v>
      </c>
      <c r="E8" s="23">
        <v>0</v>
      </c>
      <c r="F8" s="39">
        <f>'現金流量表(連動)'!$E$5*E8</f>
        <v>0</v>
      </c>
      <c r="G8" s="39">
        <f>資產負債表!C33</f>
        <v>3435680</v>
      </c>
      <c r="H8" s="40">
        <f t="shared" si="0"/>
        <v>3435680</v>
      </c>
      <c r="I8" s="163"/>
      <c r="J8" s="2" t="s">
        <v>45</v>
      </c>
      <c r="K8" s="161"/>
      <c r="L8" s="64" t="s">
        <v>46</v>
      </c>
      <c r="M8" s="7"/>
    </row>
    <row r="9" spans="1:13">
      <c r="A9" s="3"/>
      <c r="B9" s="51" t="s">
        <v>47</v>
      </c>
      <c r="C9" s="15" t="s">
        <v>32</v>
      </c>
      <c r="D9" s="32" t="s">
        <v>27</v>
      </c>
      <c r="E9" s="24">
        <v>3</v>
      </c>
      <c r="F9" s="40">
        <f>'現金流量表(連動)'!$E$5*E9</f>
        <v>228000</v>
      </c>
      <c r="G9" s="40">
        <f>資產負債表!C4</f>
        <v>10000</v>
      </c>
      <c r="H9" s="40">
        <f t="shared" si="0"/>
        <v>-218000</v>
      </c>
      <c r="I9" s="7"/>
      <c r="J9" s="1" t="s">
        <v>48</v>
      </c>
      <c r="K9" s="3"/>
      <c r="L9" s="64" t="s">
        <v>49</v>
      </c>
      <c r="M9" s="7"/>
    </row>
    <row r="10" spans="1:13">
      <c r="A10" s="3"/>
      <c r="B10" s="232">
        <f>資產負債表!K2/('現金流量表(連動)'!E5*12)</f>
        <v>0.15350877192982457</v>
      </c>
      <c r="C10" s="15" t="s">
        <v>40</v>
      </c>
      <c r="D10" s="32" t="s">
        <v>27</v>
      </c>
      <c r="E10" s="24">
        <v>3</v>
      </c>
      <c r="F10" s="40">
        <f>'現金流量表(連動)'!$E$5*E10</f>
        <v>228000</v>
      </c>
      <c r="G10" s="40">
        <f>資產負債表!C5</f>
        <v>0</v>
      </c>
      <c r="H10" s="40">
        <f t="shared" si="0"/>
        <v>-228000</v>
      </c>
      <c r="I10" s="7"/>
      <c r="J10" s="1" t="s">
        <v>50</v>
      </c>
      <c r="K10" s="3"/>
      <c r="L10" s="62" t="s">
        <v>51</v>
      </c>
      <c r="M10" s="7"/>
    </row>
    <row r="11" spans="1:13">
      <c r="A11" s="8"/>
      <c r="B11" s="53"/>
      <c r="C11" s="15" t="s">
        <v>36</v>
      </c>
      <c r="D11" s="32" t="s">
        <v>27</v>
      </c>
      <c r="E11" s="24">
        <v>6</v>
      </c>
      <c r="F11" s="40">
        <f>'現金流量表(連動)'!$E$5*E11</f>
        <v>456000</v>
      </c>
      <c r="G11" s="40">
        <f>資產負債表!Q13+資產負債表!Q16</f>
        <v>20000</v>
      </c>
      <c r="H11" s="40">
        <f t="shared" si="0"/>
        <v>-436000</v>
      </c>
      <c r="I11" s="7"/>
      <c r="K11" s="3"/>
      <c r="L11" s="64" t="s">
        <v>52</v>
      </c>
      <c r="M11" s="7"/>
    </row>
    <row r="12" spans="1:13">
      <c r="A12" s="6"/>
      <c r="B12" s="47"/>
      <c r="C12" s="15" t="s">
        <v>53</v>
      </c>
      <c r="D12" s="32" t="s">
        <v>27</v>
      </c>
      <c r="E12" s="24">
        <v>9</v>
      </c>
      <c r="F12" s="40">
        <f>'現金流量表(連動)'!$E$5*E12</f>
        <v>684000</v>
      </c>
      <c r="G12" s="40">
        <f>資產負債表!C7</f>
        <v>0</v>
      </c>
      <c r="H12" s="40">
        <f t="shared" si="0"/>
        <v>-684000</v>
      </c>
      <c r="K12" s="3"/>
      <c r="L12" s="64" t="s">
        <v>54</v>
      </c>
      <c r="M12" s="7"/>
    </row>
    <row r="13" spans="1:13">
      <c r="A13" s="2"/>
      <c r="B13" s="47"/>
      <c r="C13" s="15" t="s">
        <v>55</v>
      </c>
      <c r="D13" s="32" t="s">
        <v>27</v>
      </c>
      <c r="E13" s="24">
        <v>21</v>
      </c>
      <c r="F13" s="40">
        <f>'現金流量表(連動)'!$E$5*E13</f>
        <v>1596000</v>
      </c>
      <c r="G13" s="40">
        <f>SUM(G9:G12)</f>
        <v>30000</v>
      </c>
      <c r="H13" s="40">
        <f t="shared" si="0"/>
        <v>-1566000</v>
      </c>
      <c r="K13" s="3"/>
      <c r="L13" s="64" t="s">
        <v>56</v>
      </c>
      <c r="M13" s="7"/>
    </row>
    <row r="14" spans="1:13">
      <c r="B14" s="47"/>
      <c r="C14" s="15" t="s">
        <v>57</v>
      </c>
      <c r="D14" s="32" t="s">
        <v>27</v>
      </c>
      <c r="E14" s="24">
        <v>39</v>
      </c>
      <c r="F14" s="40">
        <f>'現金流量表(連動)'!$E$5*E14</f>
        <v>2964000</v>
      </c>
      <c r="G14" s="40">
        <f>資產負債表!K21</f>
        <v>3435680</v>
      </c>
      <c r="H14" s="40">
        <f t="shared" si="0"/>
        <v>471680</v>
      </c>
      <c r="K14" s="3"/>
      <c r="L14" s="64" t="s">
        <v>58</v>
      </c>
      <c r="M14" s="7"/>
    </row>
    <row r="15" spans="1:13" ht="16.5" thickBot="1">
      <c r="B15" s="47"/>
      <c r="C15" s="15" t="s">
        <v>59</v>
      </c>
      <c r="D15" s="32" t="s">
        <v>27</v>
      </c>
      <c r="E15" s="24">
        <v>60</v>
      </c>
      <c r="F15" s="40">
        <f>'現金流量表(連動)'!$E$5*E15</f>
        <v>4560000</v>
      </c>
      <c r="G15" s="40">
        <f>資產負債表!K2</f>
        <v>140000</v>
      </c>
      <c r="H15" s="55">
        <f t="shared" si="0"/>
        <v>-4420000</v>
      </c>
      <c r="I15" s="162"/>
      <c r="J15" s="162"/>
      <c r="K15" s="164"/>
      <c r="L15" s="64" t="s">
        <v>60</v>
      </c>
      <c r="M15" s="7"/>
    </row>
    <row r="16" spans="1:13" ht="16.5" thickBot="1">
      <c r="B16" s="50" t="s">
        <v>61</v>
      </c>
      <c r="C16" s="16" t="s">
        <v>44</v>
      </c>
      <c r="D16" s="33" t="s">
        <v>27</v>
      </c>
      <c r="E16" s="25">
        <v>0</v>
      </c>
      <c r="F16" s="41">
        <f>'現金流量表(連動)'!$E$5*E16</f>
        <v>0</v>
      </c>
      <c r="G16" s="41">
        <f>資產負債表!C33</f>
        <v>3435680</v>
      </c>
      <c r="H16" s="42">
        <f t="shared" si="0"/>
        <v>3435680</v>
      </c>
      <c r="I16" s="2"/>
      <c r="J16" s="2" t="s">
        <v>62</v>
      </c>
      <c r="K16" s="161"/>
      <c r="L16" s="62" t="s">
        <v>63</v>
      </c>
      <c r="M16" s="7"/>
    </row>
    <row r="17" spans="1:13">
      <c r="B17" s="51" t="s">
        <v>64</v>
      </c>
      <c r="C17" s="17" t="s">
        <v>65</v>
      </c>
      <c r="D17" s="34" t="s">
        <v>27</v>
      </c>
      <c r="E17" s="26">
        <v>5</v>
      </c>
      <c r="F17" s="42">
        <f>'現金流量表(連動)'!$E$5*E17</f>
        <v>380000</v>
      </c>
      <c r="G17" s="42">
        <f>資產負債表!Q3</f>
        <v>10000</v>
      </c>
      <c r="H17" s="42">
        <f t="shared" si="0"/>
        <v>-370000</v>
      </c>
      <c r="J17" s="1" t="s">
        <v>66</v>
      </c>
      <c r="K17" s="3"/>
      <c r="L17" s="64" t="s">
        <v>67</v>
      </c>
      <c r="M17" s="7"/>
    </row>
    <row r="18" spans="1:13">
      <c r="B18" s="232">
        <f>資產負債表!K2/('現金流量表(連動)'!E5*12)</f>
        <v>0.15350877192982457</v>
      </c>
      <c r="C18" s="17" t="s">
        <v>68</v>
      </c>
      <c r="D18" s="34" t="s">
        <v>27</v>
      </c>
      <c r="E18" s="26">
        <v>5</v>
      </c>
      <c r="F18" s="42">
        <f>'現金流量表(連動)'!$E$5*E18</f>
        <v>380000</v>
      </c>
      <c r="G18" s="42">
        <f>其他資產[[#Totals],[價值]]+資產負債表!M19</f>
        <v>110000</v>
      </c>
      <c r="H18" s="42">
        <f t="shared" si="0"/>
        <v>-270000</v>
      </c>
      <c r="J18" s="1" t="s">
        <v>69</v>
      </c>
      <c r="K18" s="3"/>
      <c r="L18" s="62" t="s">
        <v>70</v>
      </c>
      <c r="M18" s="7"/>
    </row>
    <row r="19" spans="1:13">
      <c r="B19" s="233"/>
      <c r="C19" s="17" t="s">
        <v>36</v>
      </c>
      <c r="D19" s="34" t="s">
        <v>27</v>
      </c>
      <c r="E19" s="26">
        <v>15</v>
      </c>
      <c r="F19" s="42">
        <f>'現金流量表(連動)'!$E$5*E19</f>
        <v>1140000</v>
      </c>
      <c r="G19" s="42">
        <f>資產負債表!Q13</f>
        <v>20000</v>
      </c>
      <c r="H19" s="42">
        <f t="shared" si="0"/>
        <v>-1120000</v>
      </c>
      <c r="J19" s="1" t="s">
        <v>71</v>
      </c>
      <c r="K19" s="3"/>
      <c r="L19" s="64" t="s">
        <v>72</v>
      </c>
      <c r="M19" s="7"/>
    </row>
    <row r="20" spans="1:13">
      <c r="A20" s="6"/>
      <c r="B20" s="48"/>
      <c r="C20" s="17" t="s">
        <v>73</v>
      </c>
      <c r="D20" s="34" t="s">
        <v>27</v>
      </c>
      <c r="E20" s="26">
        <v>25</v>
      </c>
      <c r="F20" s="42">
        <f>'現金流量表(連動)'!$E$5*E20</f>
        <v>1900000</v>
      </c>
      <c r="G20" s="42">
        <f>資產負債表!Q16</f>
        <v>0</v>
      </c>
      <c r="H20" s="42">
        <f t="shared" si="0"/>
        <v>-1900000</v>
      </c>
      <c r="J20" s="271" t="s">
        <v>74</v>
      </c>
      <c r="K20" s="272"/>
      <c r="L20" s="64" t="s">
        <v>75</v>
      </c>
      <c r="M20" s="7"/>
    </row>
    <row r="21" spans="1:13">
      <c r="A21" s="6"/>
      <c r="B21" s="48"/>
      <c r="C21" s="17" t="s">
        <v>57</v>
      </c>
      <c r="D21" s="34" t="s">
        <v>27</v>
      </c>
      <c r="E21" s="26">
        <v>40</v>
      </c>
      <c r="F21" s="42">
        <f>'現金流量表(連動)'!$E$5*E21</f>
        <v>3040000</v>
      </c>
      <c r="G21" s="42">
        <f>資產負債表!K21</f>
        <v>3435680</v>
      </c>
      <c r="H21" s="42">
        <f t="shared" si="0"/>
        <v>395680</v>
      </c>
      <c r="K21" s="3"/>
      <c r="L21" s="62" t="s">
        <v>76</v>
      </c>
      <c r="M21" s="7"/>
    </row>
    <row r="22" spans="1:13">
      <c r="A22" s="6"/>
      <c r="B22" s="48"/>
      <c r="C22" s="17" t="s">
        <v>77</v>
      </c>
      <c r="D22" s="34" t="s">
        <v>27</v>
      </c>
      <c r="E22" s="26">
        <v>65</v>
      </c>
      <c r="F22" s="42">
        <f>'現金流量表(連動)'!$E$5*E22</f>
        <v>4940000</v>
      </c>
      <c r="G22" s="42">
        <f>G23-G21</f>
        <v>-3295680</v>
      </c>
      <c r="H22" s="42">
        <f t="shared" si="0"/>
        <v>-8235680</v>
      </c>
      <c r="K22" s="3"/>
      <c r="L22" s="64" t="s">
        <v>78</v>
      </c>
      <c r="M22" s="7"/>
    </row>
    <row r="23" spans="1:13" ht="16.5" thickBot="1">
      <c r="A23" s="6"/>
      <c r="B23" s="48"/>
      <c r="C23" s="17" t="s">
        <v>59</v>
      </c>
      <c r="D23" s="34" t="s">
        <v>27</v>
      </c>
      <c r="E23" s="26">
        <v>105</v>
      </c>
      <c r="F23" s="42">
        <f>'現金流量表(連動)'!$E$5*E23</f>
        <v>7980000</v>
      </c>
      <c r="G23" s="42">
        <f>資產負債表!K2</f>
        <v>140000</v>
      </c>
      <c r="H23" s="56">
        <f t="shared" si="0"/>
        <v>-7840000</v>
      </c>
      <c r="I23" s="162"/>
      <c r="J23" s="162"/>
      <c r="K23" s="164"/>
      <c r="L23" s="64" t="s">
        <v>79</v>
      </c>
      <c r="M23" s="7"/>
    </row>
    <row r="24" spans="1:13" ht="16.5" thickBot="1">
      <c r="A24" s="6"/>
      <c r="B24" s="50" t="s">
        <v>80</v>
      </c>
      <c r="C24" s="18" t="s">
        <v>44</v>
      </c>
      <c r="D24" s="35" t="s">
        <v>27</v>
      </c>
      <c r="E24" s="27">
        <v>0</v>
      </c>
      <c r="F24" s="43">
        <f>'現金流量表(連動)'!$E$5*E24</f>
        <v>0</v>
      </c>
      <c r="G24" s="43">
        <f>資產負債表!C33</f>
        <v>3435680</v>
      </c>
      <c r="H24" s="44">
        <f t="shared" si="0"/>
        <v>3435680</v>
      </c>
      <c r="I24" s="2"/>
      <c r="J24" s="2" t="s">
        <v>81</v>
      </c>
      <c r="K24" s="161"/>
      <c r="L24" s="62" t="s">
        <v>82</v>
      </c>
      <c r="M24" s="7"/>
    </row>
    <row r="25" spans="1:13">
      <c r="A25" s="2"/>
      <c r="B25" s="51" t="s">
        <v>83</v>
      </c>
      <c r="C25" s="19" t="s">
        <v>84</v>
      </c>
      <c r="D25" s="36" t="s">
        <v>27</v>
      </c>
      <c r="E25" s="28">
        <v>7</v>
      </c>
      <c r="F25" s="44">
        <f>'現金流量表(連動)'!$E$5*E25</f>
        <v>532000</v>
      </c>
      <c r="G25" s="44">
        <f>資產負債表!Q3</f>
        <v>10000</v>
      </c>
      <c r="H25" s="44">
        <f t="shared" si="0"/>
        <v>-522000</v>
      </c>
      <c r="J25" s="271" t="s">
        <v>85</v>
      </c>
      <c r="K25" s="272"/>
      <c r="L25" s="64" t="s">
        <v>86</v>
      </c>
      <c r="M25" s="7"/>
    </row>
    <row r="26" spans="1:13">
      <c r="B26" s="232">
        <f>資產負債表!K2/('現金流量表(連動)'!E5*12)</f>
        <v>0.15350877192982457</v>
      </c>
      <c r="C26" s="19" t="s">
        <v>68</v>
      </c>
      <c r="D26" s="36" t="s">
        <v>27</v>
      </c>
      <c r="E26" s="28">
        <v>7</v>
      </c>
      <c r="F26" s="44">
        <f>'現金流量表(連動)'!$E$5*E26</f>
        <v>532000</v>
      </c>
      <c r="G26" s="44">
        <f>其他資產[[#Totals],[價值]]+資產負債表!M19</f>
        <v>110000</v>
      </c>
      <c r="H26" s="44">
        <f t="shared" si="0"/>
        <v>-422000</v>
      </c>
      <c r="K26" s="3"/>
      <c r="L26" s="64" t="s">
        <v>87</v>
      </c>
      <c r="M26" s="7"/>
    </row>
    <row r="27" spans="1:13">
      <c r="C27" s="19" t="s">
        <v>57</v>
      </c>
      <c r="D27" s="36" t="s">
        <v>27</v>
      </c>
      <c r="E27" s="28">
        <v>35</v>
      </c>
      <c r="F27" s="44">
        <f>'現金流量表(連動)'!$E$5*E27</f>
        <v>2660000</v>
      </c>
      <c r="G27" s="44">
        <f>資產負債表!K21</f>
        <v>3435680</v>
      </c>
      <c r="H27" s="44">
        <f t="shared" si="0"/>
        <v>775680</v>
      </c>
      <c r="K27" s="3"/>
      <c r="L27" s="64" t="s">
        <v>88</v>
      </c>
      <c r="M27" s="7"/>
    </row>
    <row r="28" spans="1:13">
      <c r="C28" s="19" t="s">
        <v>36</v>
      </c>
      <c r="D28" s="36" t="s">
        <v>27</v>
      </c>
      <c r="E28" s="28">
        <v>56</v>
      </c>
      <c r="F28" s="44">
        <f>'現金流量表(連動)'!$E$5*E28</f>
        <v>4256000</v>
      </c>
      <c r="G28" s="44">
        <f>資產負債表!Q13</f>
        <v>20000</v>
      </c>
      <c r="H28" s="44">
        <f t="shared" si="0"/>
        <v>-4236000</v>
      </c>
      <c r="K28" s="3"/>
      <c r="L28" s="64" t="s">
        <v>89</v>
      </c>
      <c r="M28" s="7"/>
    </row>
    <row r="29" spans="1:13">
      <c r="C29" s="19" t="s">
        <v>73</v>
      </c>
      <c r="D29" s="36" t="s">
        <v>27</v>
      </c>
      <c r="E29" s="28">
        <v>91</v>
      </c>
      <c r="F29" s="44">
        <f>'現金流量表(連動)'!$E$5*E29</f>
        <v>6916000</v>
      </c>
      <c r="G29" s="44">
        <f>資產負債表!Q16</f>
        <v>0</v>
      </c>
      <c r="H29" s="44">
        <f t="shared" si="0"/>
        <v>-6916000</v>
      </c>
      <c r="K29" s="3"/>
      <c r="L29" s="65" t="s">
        <v>90</v>
      </c>
      <c r="M29" s="7"/>
    </row>
    <row r="30" spans="1:13" ht="16.5" thickBot="1">
      <c r="C30" s="58" t="s">
        <v>91</v>
      </c>
      <c r="D30" s="59" t="s">
        <v>27</v>
      </c>
      <c r="E30" s="60">
        <v>147</v>
      </c>
      <c r="F30" s="61">
        <f>'現金流量表(連動)'!$E$5*E30</f>
        <v>11172000</v>
      </c>
      <c r="G30" s="61">
        <f>G28+G29</f>
        <v>20000</v>
      </c>
      <c r="H30" s="61">
        <f t="shared" si="0"/>
        <v>-11152000</v>
      </c>
      <c r="I30" s="162"/>
      <c r="J30" s="162"/>
      <c r="K30" s="164"/>
      <c r="L30" s="163"/>
    </row>
    <row r="31" spans="1:13">
      <c r="C31" s="2"/>
      <c r="D31" s="2"/>
      <c r="E31" s="57"/>
      <c r="F31" s="2"/>
      <c r="G31" s="2"/>
      <c r="H31" s="2"/>
      <c r="I31" s="2"/>
      <c r="J31" s="2"/>
      <c r="K31" s="2"/>
    </row>
    <row r="32" spans="1:13">
      <c r="B32" s="6" t="s">
        <v>92</v>
      </c>
      <c r="C32" s="236">
        <f>資產負債表!K21</f>
        <v>3435680</v>
      </c>
      <c r="D32" s="234"/>
      <c r="E32" s="235"/>
      <c r="F32" s="234"/>
      <c r="G32" s="234"/>
      <c r="H32" s="234"/>
      <c r="I32" s="2"/>
      <c r="J32" s="2"/>
      <c r="K32" s="2"/>
    </row>
    <row r="33" spans="1:11">
      <c r="B33" s="6" t="s">
        <v>93</v>
      </c>
      <c r="C33" s="236">
        <f>C32/8</f>
        <v>429460</v>
      </c>
      <c r="D33" s="234"/>
      <c r="E33" s="235"/>
      <c r="F33" s="234"/>
      <c r="G33" s="234"/>
      <c r="H33" s="234"/>
      <c r="I33" s="2"/>
      <c r="J33" s="2"/>
      <c r="K33" s="2"/>
    </row>
    <row r="34" spans="1:11">
      <c r="B34" s="6"/>
      <c r="C34" s="234"/>
      <c r="D34" s="234"/>
      <c r="E34" s="235"/>
      <c r="F34" s="234"/>
      <c r="G34" s="234"/>
      <c r="H34" s="234"/>
      <c r="I34" s="2"/>
      <c r="J34" s="2"/>
      <c r="K34" s="2"/>
    </row>
    <row r="35" spans="1:11">
      <c r="B35" s="6"/>
      <c r="C35" s="234"/>
      <c r="D35" s="234"/>
      <c r="E35" s="235"/>
      <c r="F35" s="234"/>
      <c r="G35" s="234"/>
      <c r="H35" s="234"/>
      <c r="I35" s="2"/>
      <c r="J35" s="2"/>
      <c r="K35" s="2"/>
    </row>
    <row r="36" spans="1:11">
      <c r="B36" s="50" t="s">
        <v>61</v>
      </c>
      <c r="C36" s="16" t="s">
        <v>44</v>
      </c>
      <c r="D36" s="33" t="s">
        <v>94</v>
      </c>
      <c r="E36" s="25">
        <v>0</v>
      </c>
      <c r="F36" s="41">
        <f>$C$33*E36</f>
        <v>0</v>
      </c>
      <c r="G36" s="41">
        <f>資產負債表!C49</f>
        <v>0</v>
      </c>
      <c r="H36" s="41">
        <f t="shared" ref="H36:H50" si="1">G36-F36</f>
        <v>0</v>
      </c>
    </row>
    <row r="37" spans="1:11">
      <c r="B37" s="51" t="s">
        <v>64</v>
      </c>
      <c r="C37" s="17" t="s">
        <v>65</v>
      </c>
      <c r="D37" s="34" t="s">
        <v>94</v>
      </c>
      <c r="E37" s="26">
        <v>1</v>
      </c>
      <c r="F37" s="42">
        <f>$C$33*E37</f>
        <v>429460</v>
      </c>
      <c r="G37" s="42">
        <f>資產負債表!Q19</f>
        <v>0</v>
      </c>
      <c r="H37" s="42">
        <f t="shared" si="1"/>
        <v>-429460</v>
      </c>
    </row>
    <row r="38" spans="1:11">
      <c r="B38" s="232">
        <f>資產負債表!K2/('現金流量表(連動)'!E5*12)</f>
        <v>0.15350877192982457</v>
      </c>
      <c r="C38" s="17" t="s">
        <v>68</v>
      </c>
      <c r="D38" s="34" t="s">
        <v>94</v>
      </c>
      <c r="E38" s="26">
        <v>1</v>
      </c>
      <c r="F38" s="42">
        <f t="shared" ref="F38:F43" si="2">$C$33*E38</f>
        <v>429460</v>
      </c>
      <c r="G38" s="42">
        <f>其他資產[[#Totals],[價值]]+資產負債表!M35</f>
        <v>110000</v>
      </c>
      <c r="H38" s="42">
        <f t="shared" si="1"/>
        <v>-319460</v>
      </c>
    </row>
    <row r="39" spans="1:11">
      <c r="B39" s="233"/>
      <c r="C39" s="17" t="s">
        <v>36</v>
      </c>
      <c r="D39" s="34" t="s">
        <v>94</v>
      </c>
      <c r="E39" s="26">
        <v>3</v>
      </c>
      <c r="F39" s="42">
        <f t="shared" si="2"/>
        <v>1288380</v>
      </c>
      <c r="G39" s="42">
        <f>資產負債表!Q29</f>
        <v>24.540571428571429</v>
      </c>
      <c r="H39" s="42">
        <f t="shared" si="1"/>
        <v>-1288355.4594285714</v>
      </c>
    </row>
    <row r="40" spans="1:11">
      <c r="A40" s="6"/>
      <c r="B40" s="48"/>
      <c r="C40" s="17" t="s">
        <v>73</v>
      </c>
      <c r="D40" s="34" t="s">
        <v>94</v>
      </c>
      <c r="E40" s="26">
        <v>5</v>
      </c>
      <c r="F40" s="42">
        <f t="shared" si="2"/>
        <v>2147300</v>
      </c>
      <c r="G40" s="42">
        <f>資產負債表!Q32</f>
        <v>0</v>
      </c>
      <c r="H40" s="42">
        <f t="shared" si="1"/>
        <v>-2147300</v>
      </c>
    </row>
    <row r="41" spans="1:11">
      <c r="A41" s="2"/>
      <c r="B41" s="48"/>
      <c r="C41" s="17" t="s">
        <v>57</v>
      </c>
      <c r="D41" s="34" t="s">
        <v>94</v>
      </c>
      <c r="E41" s="26">
        <v>8</v>
      </c>
      <c r="F41" s="42">
        <f t="shared" si="2"/>
        <v>3435680</v>
      </c>
      <c r="G41" s="42">
        <f>資產負債表!K37</f>
        <v>0</v>
      </c>
      <c r="H41" s="42">
        <f t="shared" si="1"/>
        <v>-3435680</v>
      </c>
    </row>
    <row r="42" spans="1:11">
      <c r="B42" s="48"/>
      <c r="C42" s="17" t="s">
        <v>77</v>
      </c>
      <c r="D42" s="34" t="s">
        <v>94</v>
      </c>
      <c r="E42" s="26">
        <v>13</v>
      </c>
      <c r="F42" s="42">
        <f t="shared" si="2"/>
        <v>5582980</v>
      </c>
      <c r="G42" s="42">
        <f>G43-G41</f>
        <v>0</v>
      </c>
      <c r="H42" s="42">
        <f t="shared" si="1"/>
        <v>-5582980</v>
      </c>
    </row>
    <row r="43" spans="1:11">
      <c r="B43" s="48"/>
      <c r="C43" s="17" t="s">
        <v>59</v>
      </c>
      <c r="D43" s="34" t="s">
        <v>94</v>
      </c>
      <c r="E43" s="26">
        <v>21</v>
      </c>
      <c r="F43" s="42">
        <f t="shared" si="2"/>
        <v>9018660</v>
      </c>
      <c r="G43" s="42">
        <f>資產負債表!K18</f>
        <v>0</v>
      </c>
      <c r="H43" s="56">
        <f t="shared" si="1"/>
        <v>-9018660</v>
      </c>
    </row>
    <row r="44" spans="1:11">
      <c r="B44" s="50" t="s">
        <v>80</v>
      </c>
      <c r="C44" s="18" t="s">
        <v>44</v>
      </c>
      <c r="D44" s="35" t="s">
        <v>94</v>
      </c>
      <c r="E44" s="27">
        <v>0</v>
      </c>
      <c r="F44" s="43">
        <f>$C$33*E44</f>
        <v>0</v>
      </c>
      <c r="G44" s="43">
        <f>資產負債表!C49</f>
        <v>0</v>
      </c>
      <c r="H44" s="44">
        <f t="shared" si="1"/>
        <v>0</v>
      </c>
    </row>
    <row r="45" spans="1:11">
      <c r="B45" s="51" t="s">
        <v>83</v>
      </c>
      <c r="C45" s="19" t="s">
        <v>84</v>
      </c>
      <c r="D45" s="36" t="s">
        <v>94</v>
      </c>
      <c r="E45" s="28">
        <v>7</v>
      </c>
      <c r="F45" s="44">
        <f>$C$33*E45</f>
        <v>3006220</v>
      </c>
      <c r="G45" s="44">
        <f>資產負債表!Q19</f>
        <v>0</v>
      </c>
      <c r="H45" s="44">
        <f t="shared" si="1"/>
        <v>-3006220</v>
      </c>
    </row>
    <row r="46" spans="1:11">
      <c r="B46" s="232">
        <f>資產負債表!K2/('現金流量表(連動)'!E5*12)</f>
        <v>0.15350877192982457</v>
      </c>
      <c r="C46" s="19" t="s">
        <v>68</v>
      </c>
      <c r="D46" s="36" t="s">
        <v>94</v>
      </c>
      <c r="E46" s="28">
        <v>7</v>
      </c>
      <c r="F46" s="44">
        <f t="shared" ref="F46:F48" si="3">$C$33*E46</f>
        <v>3006220</v>
      </c>
      <c r="G46" s="44">
        <f>其他資產[[#Totals],[價值]]+資產負債表!M35</f>
        <v>110000</v>
      </c>
      <c r="H46" s="44">
        <f t="shared" si="1"/>
        <v>-2896220</v>
      </c>
    </row>
    <row r="47" spans="1:11">
      <c r="C47" s="19" t="s">
        <v>57</v>
      </c>
      <c r="D47" s="36" t="s">
        <v>94</v>
      </c>
      <c r="E47" s="28">
        <v>35</v>
      </c>
      <c r="F47" s="44">
        <f t="shared" si="3"/>
        <v>15031100</v>
      </c>
      <c r="G47" s="44">
        <f>資產負債表!K37</f>
        <v>0</v>
      </c>
      <c r="H47" s="44">
        <f t="shared" si="1"/>
        <v>-15031100</v>
      </c>
    </row>
    <row r="48" spans="1:11">
      <c r="C48" s="19" t="s">
        <v>36</v>
      </c>
      <c r="D48" s="36" t="s">
        <v>94</v>
      </c>
      <c r="E48" s="28">
        <v>56</v>
      </c>
      <c r="F48" s="44">
        <f t="shared" si="3"/>
        <v>24049760</v>
      </c>
      <c r="G48" s="44">
        <f>資產負債表!Q29</f>
        <v>24.540571428571429</v>
      </c>
      <c r="H48" s="44">
        <f t="shared" si="1"/>
        <v>-24049735.459428571</v>
      </c>
    </row>
    <row r="49" spans="1:8">
      <c r="C49" s="19" t="s">
        <v>73</v>
      </c>
      <c r="D49" s="36" t="s">
        <v>94</v>
      </c>
      <c r="E49" s="28">
        <v>91</v>
      </c>
      <c r="F49" s="44">
        <f>$C$33*E49</f>
        <v>39080860</v>
      </c>
      <c r="G49" s="44">
        <f>資產負債表!Q32</f>
        <v>0</v>
      </c>
      <c r="H49" s="44">
        <f t="shared" si="1"/>
        <v>-39080860</v>
      </c>
    </row>
    <row r="50" spans="1:8">
      <c r="C50" s="58" t="s">
        <v>91</v>
      </c>
      <c r="D50" s="59" t="s">
        <v>94</v>
      </c>
      <c r="E50" s="60">
        <v>147</v>
      </c>
      <c r="F50" s="61">
        <f>$C$33*E50</f>
        <v>63130620</v>
      </c>
      <c r="G50" s="61">
        <f>G48+G49</f>
        <v>24.540571428571429</v>
      </c>
      <c r="H50" s="61">
        <f t="shared" si="1"/>
        <v>-63130595.459428571</v>
      </c>
    </row>
    <row r="51" spans="1:8">
      <c r="A51" s="2"/>
      <c r="B51" s="2"/>
    </row>
  </sheetData>
  <mergeCells count="3">
    <mergeCell ref="B2:L2"/>
    <mergeCell ref="J20:K20"/>
    <mergeCell ref="J25:K25"/>
  </mergeCells>
  <phoneticPr fontId="1" type="noConversion"/>
  <conditionalFormatting sqref="B6">
    <cfRule type="cellIs" dxfId="138" priority="11" operator="lessThanOrEqual">
      <formula>0.5</formula>
    </cfRule>
    <cfRule type="cellIs" dxfId="137" priority="12" operator="greaterThan">
      <formula>0.5</formula>
    </cfRule>
  </conditionalFormatting>
  <conditionalFormatting sqref="B10">
    <cfRule type="cellIs" dxfId="136" priority="9" operator="lessThanOrEqual">
      <formula>0.5</formula>
    </cfRule>
    <cfRule type="cellIs" dxfId="135" priority="10" operator="greaterThan">
      <formula>0.5</formula>
    </cfRule>
  </conditionalFormatting>
  <conditionalFormatting sqref="B18">
    <cfRule type="cellIs" dxfId="134" priority="7" operator="greaterThan">
      <formula>2</formula>
    </cfRule>
    <cfRule type="cellIs" dxfId="133" priority="8" operator="lessThanOrEqual">
      <formula>2</formula>
    </cfRule>
  </conditionalFormatting>
  <conditionalFormatting sqref="B26">
    <cfRule type="cellIs" dxfId="132" priority="5" operator="greaterThan">
      <formula>5</formula>
    </cfRule>
    <cfRule type="cellIs" dxfId="131" priority="6" operator="lessThanOrEqual">
      <formula>5</formula>
    </cfRule>
  </conditionalFormatting>
  <conditionalFormatting sqref="B38">
    <cfRule type="cellIs" dxfId="130" priority="3" operator="greaterThan">
      <formula>2</formula>
    </cfRule>
    <cfRule type="cellIs" dxfId="129" priority="4" operator="lessThanOrEqual">
      <formula>2</formula>
    </cfRule>
  </conditionalFormatting>
  <conditionalFormatting sqref="B46">
    <cfRule type="cellIs" dxfId="128" priority="1" operator="greaterThan">
      <formula>5</formula>
    </cfRule>
    <cfRule type="cellIs" dxfId="127" priority="2" operator="lessThanOrEqual">
      <formula>5</formula>
    </cfRule>
  </conditionalFormatting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B2:V73"/>
  <sheetViews>
    <sheetView zoomScale="70" zoomScaleNormal="70" workbookViewId="0">
      <selection activeCell="D10" sqref="D10"/>
    </sheetView>
  </sheetViews>
  <sheetFormatPr defaultRowHeight="15.75"/>
  <cols>
    <col min="1" max="1" width="3.625" style="140" customWidth="1"/>
    <col min="2" max="2" width="19.625" style="140" bestFit="1" customWidth="1"/>
    <col min="3" max="3" width="19.75" style="140" bestFit="1" customWidth="1"/>
    <col min="4" max="4" width="10" style="140" bestFit="1" customWidth="1"/>
    <col min="5" max="5" width="9" style="140" bestFit="1" customWidth="1"/>
    <col min="6" max="13" width="10.25" style="140" bestFit="1" customWidth="1"/>
    <col min="14" max="14" width="11.375" style="140" bestFit="1" customWidth="1"/>
    <col min="15" max="15" width="10.25" style="140" bestFit="1" customWidth="1"/>
    <col min="16" max="16" width="9.375" style="140" bestFit="1" customWidth="1"/>
    <col min="17" max="17" width="14.125" style="140" bestFit="1" customWidth="1"/>
    <col min="18" max="18" width="13.125" style="140" bestFit="1" customWidth="1"/>
    <col min="19" max="19" width="14.125" style="140" bestFit="1" customWidth="1"/>
    <col min="20" max="20" width="18.625" style="140" bestFit="1" customWidth="1"/>
    <col min="21" max="27" width="9" style="140"/>
    <col min="28" max="28" width="18.875" style="140" bestFit="1" customWidth="1"/>
    <col min="29" max="16384" width="9" style="140"/>
  </cols>
  <sheetData>
    <row r="2" spans="2:22" ht="30" customHeight="1">
      <c r="B2" s="280" t="s">
        <v>95</v>
      </c>
      <c r="C2" s="280"/>
      <c r="D2" s="280"/>
      <c r="E2" s="280"/>
      <c r="F2" s="280"/>
      <c r="G2" s="280"/>
      <c r="H2" s="280"/>
      <c r="I2" s="280"/>
      <c r="J2" s="280"/>
      <c r="K2" s="280"/>
      <c r="L2" s="280"/>
      <c r="M2" s="280"/>
      <c r="N2" s="280"/>
      <c r="O2" s="280"/>
      <c r="P2" s="280"/>
      <c r="Q2" s="280"/>
      <c r="T2" s="151"/>
      <c r="U2" s="151"/>
      <c r="V2" s="151"/>
    </row>
    <row r="4" spans="2:22" ht="18.75">
      <c r="B4" s="281" t="s">
        <v>96</v>
      </c>
      <c r="C4" s="282"/>
      <c r="D4" s="142" t="s">
        <v>97</v>
      </c>
      <c r="E4" s="142" t="s">
        <v>98</v>
      </c>
      <c r="F4" s="142" t="s">
        <v>99</v>
      </c>
      <c r="G4" s="142" t="s">
        <v>100</v>
      </c>
      <c r="H4" s="142" t="s">
        <v>101</v>
      </c>
      <c r="I4" s="142" t="s">
        <v>102</v>
      </c>
      <c r="J4" s="142" t="s">
        <v>103</v>
      </c>
      <c r="K4" s="142" t="s">
        <v>104</v>
      </c>
      <c r="L4" s="142" t="s">
        <v>105</v>
      </c>
      <c r="M4" s="142" t="s">
        <v>106</v>
      </c>
      <c r="N4" s="142" t="s">
        <v>107</v>
      </c>
      <c r="O4" s="142" t="s">
        <v>108</v>
      </c>
      <c r="P4" s="143" t="s">
        <v>109</v>
      </c>
      <c r="Q4" s="144" t="s">
        <v>110</v>
      </c>
    </row>
    <row r="5" spans="2:22" ht="18.75">
      <c r="B5" s="323" t="s">
        <v>111</v>
      </c>
      <c r="C5" s="324"/>
      <c r="D5" s="314">
        <f>D10+D19+D26</f>
        <v>84505</v>
      </c>
      <c r="E5" s="314">
        <f>E10+E19+E26</f>
        <v>0</v>
      </c>
      <c r="F5" s="314">
        <f>F10+F19+F26</f>
        <v>0</v>
      </c>
      <c r="G5" s="314">
        <f>G10+G19+G26</f>
        <v>0</v>
      </c>
      <c r="H5" s="314">
        <f>H10+H19+H26</f>
        <v>0</v>
      </c>
      <c r="I5" s="314">
        <f>I10+I19+I26</f>
        <v>0</v>
      </c>
      <c r="J5" s="314">
        <f>J10+J19+J26</f>
        <v>0</v>
      </c>
      <c r="K5" s="314">
        <f>K10+K19+K26</f>
        <v>0</v>
      </c>
      <c r="L5" s="314">
        <f>L10+L19+L26</f>
        <v>0</v>
      </c>
      <c r="M5" s="314">
        <f>M10+M19+M26</f>
        <v>0</v>
      </c>
      <c r="N5" s="314">
        <f>N10+N19+N26</f>
        <v>0</v>
      </c>
      <c r="O5" s="314">
        <f>O10+O19+O26</f>
        <v>0</v>
      </c>
      <c r="P5" s="158">
        <f>SUM(D5:O5)</f>
        <v>84505</v>
      </c>
      <c r="Q5" s="145">
        <f>P5/COLUMNS(D5:O5)</f>
        <v>7042.083333333333</v>
      </c>
    </row>
    <row r="6" spans="2:22" ht="18.75">
      <c r="B6" s="321" t="s">
        <v>112</v>
      </c>
      <c r="C6" s="322"/>
      <c r="D6" s="314">
        <f>支出規劃!D6</f>
        <v>0</v>
      </c>
      <c r="E6" s="314">
        <f>支出規劃!E6</f>
        <v>0</v>
      </c>
      <c r="F6" s="314">
        <f>支出規劃!F6</f>
        <v>0</v>
      </c>
      <c r="G6" s="314">
        <f>支出規劃!G6</f>
        <v>0</v>
      </c>
      <c r="H6" s="314">
        <f>支出規劃!H6</f>
        <v>0</v>
      </c>
      <c r="I6" s="314">
        <f>支出規劃!I6</f>
        <v>0</v>
      </c>
      <c r="J6" s="314">
        <f>支出規劃!J6</f>
        <v>0</v>
      </c>
      <c r="K6" s="314">
        <f>支出規劃!K6</f>
        <v>0</v>
      </c>
      <c r="L6" s="314">
        <f>支出規劃!L6</f>
        <v>0</v>
      </c>
      <c r="M6" s="314">
        <f>支出規劃!M6</f>
        <v>0</v>
      </c>
      <c r="N6" s="314">
        <f>支出規劃!N6</f>
        <v>0</v>
      </c>
      <c r="O6" s="314">
        <f>支出規劃!O6</f>
        <v>0</v>
      </c>
      <c r="P6" s="158">
        <f>SUM(D6:O6)</f>
        <v>0</v>
      </c>
      <c r="Q6" s="145">
        <f>P6/COLUMNS(D6:O6)</f>
        <v>0</v>
      </c>
    </row>
    <row r="7" spans="2:22" ht="18.75">
      <c r="B7" s="283" t="s">
        <v>113</v>
      </c>
      <c r="C7" s="284"/>
      <c r="D7" s="315">
        <f>D5-D6</f>
        <v>84505</v>
      </c>
      <c r="E7" s="315">
        <f t="shared" ref="E7:O7" si="0">E5-E6</f>
        <v>0</v>
      </c>
      <c r="F7" s="315">
        <f t="shared" si="0"/>
        <v>0</v>
      </c>
      <c r="G7" s="315">
        <f t="shared" si="0"/>
        <v>0</v>
      </c>
      <c r="H7" s="315">
        <f t="shared" si="0"/>
        <v>0</v>
      </c>
      <c r="I7" s="315">
        <f t="shared" si="0"/>
        <v>0</v>
      </c>
      <c r="J7" s="315">
        <f t="shared" si="0"/>
        <v>0</v>
      </c>
      <c r="K7" s="315">
        <f t="shared" si="0"/>
        <v>0</v>
      </c>
      <c r="L7" s="315">
        <f t="shared" si="0"/>
        <v>0</v>
      </c>
      <c r="M7" s="315">
        <f t="shared" si="0"/>
        <v>0</v>
      </c>
      <c r="N7" s="315">
        <f t="shared" si="0"/>
        <v>0</v>
      </c>
      <c r="O7" s="315">
        <f t="shared" si="0"/>
        <v>0</v>
      </c>
      <c r="P7" s="159">
        <f>SUM(D7:O7)</f>
        <v>84505</v>
      </c>
      <c r="Q7" s="160">
        <f>P7/COLUMNS(D7:O7)</f>
        <v>7042.083333333333</v>
      </c>
    </row>
    <row r="8" spans="2:22" ht="18.75">
      <c r="B8" s="141"/>
      <c r="C8" s="141"/>
      <c r="D8" s="141"/>
      <c r="E8" s="141"/>
      <c r="F8" s="141"/>
      <c r="G8" s="141"/>
      <c r="H8" s="141"/>
      <c r="I8" s="141"/>
      <c r="J8" s="141"/>
      <c r="K8" s="141"/>
      <c r="L8" s="141"/>
      <c r="M8" s="141"/>
      <c r="N8" s="141"/>
      <c r="O8" s="141"/>
      <c r="P8" s="141"/>
      <c r="Q8" s="141"/>
    </row>
    <row r="9" spans="2:22" ht="19.5" thickBot="1">
      <c r="B9" s="316" t="s">
        <v>114</v>
      </c>
      <c r="C9" s="316"/>
      <c r="D9" s="317" t="str">
        <f>D$4</f>
        <v>1</v>
      </c>
      <c r="E9" s="317" t="str">
        <f t="shared" ref="E9:O9" si="1">E$4</f>
        <v>2</v>
      </c>
      <c r="F9" s="317" t="str">
        <f t="shared" si="1"/>
        <v>3</v>
      </c>
      <c r="G9" s="317" t="str">
        <f t="shared" si="1"/>
        <v>4</v>
      </c>
      <c r="H9" s="317" t="str">
        <f t="shared" si="1"/>
        <v>5</v>
      </c>
      <c r="I9" s="317" t="str">
        <f t="shared" si="1"/>
        <v>6</v>
      </c>
      <c r="J9" s="317" t="str">
        <f t="shared" si="1"/>
        <v>7</v>
      </c>
      <c r="K9" s="317" t="str">
        <f t="shared" si="1"/>
        <v>8</v>
      </c>
      <c r="L9" s="317" t="str">
        <f t="shared" si="1"/>
        <v>9</v>
      </c>
      <c r="M9" s="317" t="str">
        <f t="shared" si="1"/>
        <v>10</v>
      </c>
      <c r="N9" s="317" t="str">
        <f t="shared" si="1"/>
        <v>11</v>
      </c>
      <c r="O9" s="317" t="str">
        <f t="shared" si="1"/>
        <v>12</v>
      </c>
      <c r="P9" s="317" t="s">
        <v>115</v>
      </c>
      <c r="Q9" s="317" t="s">
        <v>116</v>
      </c>
    </row>
    <row r="10" spans="2:22" ht="19.5" thickTop="1">
      <c r="B10" s="318" t="s">
        <v>123</v>
      </c>
      <c r="C10" s="318"/>
      <c r="D10" s="150">
        <f>SUM(D11:D16)</f>
        <v>79000</v>
      </c>
      <c r="E10" s="150">
        <f>SUM(E11:E16)</f>
        <v>0</v>
      </c>
      <c r="F10" s="150">
        <f>SUM(F11:F16)</f>
        <v>0</v>
      </c>
      <c r="G10" s="150">
        <f>SUM(G11:G16)</f>
        <v>0</v>
      </c>
      <c r="H10" s="150">
        <f>SUM(H11:H16)</f>
        <v>0</v>
      </c>
      <c r="I10" s="150">
        <f>SUM(I11:I16)</f>
        <v>0</v>
      </c>
      <c r="J10" s="150">
        <f>SUM(J11:J16)</f>
        <v>0</v>
      </c>
      <c r="K10" s="150">
        <f>SUM(K11:K16)</f>
        <v>0</v>
      </c>
      <c r="L10" s="150">
        <f>SUM(L11:L16)</f>
        <v>0</v>
      </c>
      <c r="M10" s="150">
        <f>SUM(M11:M16)</f>
        <v>0</v>
      </c>
      <c r="N10" s="150">
        <f>SUM(N11:N16)</f>
        <v>0</v>
      </c>
      <c r="O10" s="150">
        <f>SUM(O11:O16)</f>
        <v>0</v>
      </c>
      <c r="P10" s="150">
        <f>SUM(P11:P16)</f>
        <v>79000</v>
      </c>
      <c r="Q10" s="150">
        <f>SUM(Q11:Q16)</f>
        <v>6583.333333333333</v>
      </c>
    </row>
    <row r="11" spans="2:22" ht="18.75">
      <c r="B11" s="276" t="s">
        <v>117</v>
      </c>
      <c r="C11" s="277"/>
      <c r="D11" s="147">
        <v>60000</v>
      </c>
      <c r="E11" s="147"/>
      <c r="F11" s="147"/>
      <c r="G11" s="147"/>
      <c r="H11" s="147"/>
      <c r="I11" s="147"/>
      <c r="J11" s="147"/>
      <c r="K11" s="147"/>
      <c r="L11" s="147"/>
      <c r="M11" s="147"/>
      <c r="N11" s="147"/>
      <c r="O11" s="147"/>
      <c r="P11" s="148">
        <f>SUM(D11:O11)</f>
        <v>60000</v>
      </c>
      <c r="Q11" s="148">
        <f>P11/COLUMNS(D11:O11)</f>
        <v>5000</v>
      </c>
    </row>
    <row r="12" spans="2:22" ht="18.75">
      <c r="B12" s="276" t="s">
        <v>118</v>
      </c>
      <c r="C12" s="277"/>
      <c r="D12" s="147">
        <v>19000</v>
      </c>
      <c r="E12" s="147"/>
      <c r="F12" s="147"/>
      <c r="G12" s="147"/>
      <c r="H12" s="147"/>
      <c r="I12" s="147"/>
      <c r="J12" s="147"/>
      <c r="K12" s="147"/>
      <c r="L12" s="147"/>
      <c r="M12" s="147"/>
      <c r="N12" s="147"/>
      <c r="O12" s="147"/>
      <c r="P12" s="148">
        <f t="shared" ref="P12:P16" si="2">SUM(D12:O12)</f>
        <v>19000</v>
      </c>
      <c r="Q12" s="148">
        <f t="shared" ref="Q12:Q16" si="3">P12/COLUMNS(D12:O12)</f>
        <v>1583.3333333333333</v>
      </c>
    </row>
    <row r="13" spans="2:22" ht="18.75">
      <c r="B13" s="276" t="s">
        <v>119</v>
      </c>
      <c r="C13" s="277"/>
      <c r="D13" s="147"/>
      <c r="E13" s="147"/>
      <c r="F13" s="147"/>
      <c r="G13" s="147"/>
      <c r="H13" s="147"/>
      <c r="I13" s="147"/>
      <c r="J13" s="147"/>
      <c r="K13" s="147"/>
      <c r="L13" s="147"/>
      <c r="M13" s="147"/>
      <c r="N13" s="147"/>
      <c r="O13" s="147"/>
      <c r="P13" s="148">
        <f t="shared" si="2"/>
        <v>0</v>
      </c>
      <c r="Q13" s="148">
        <f t="shared" si="3"/>
        <v>0</v>
      </c>
    </row>
    <row r="14" spans="2:22" ht="18.75">
      <c r="B14" s="276" t="s">
        <v>120</v>
      </c>
      <c r="C14" s="277"/>
      <c r="D14" s="147"/>
      <c r="E14" s="147"/>
      <c r="F14" s="147"/>
      <c r="G14" s="147"/>
      <c r="H14" s="147"/>
      <c r="I14" s="147"/>
      <c r="J14" s="147"/>
      <c r="K14" s="147"/>
      <c r="L14" s="147"/>
      <c r="M14" s="147"/>
      <c r="N14" s="147"/>
      <c r="O14" s="147"/>
      <c r="P14" s="148">
        <f t="shared" si="2"/>
        <v>0</v>
      </c>
      <c r="Q14" s="148">
        <f t="shared" si="3"/>
        <v>0</v>
      </c>
    </row>
    <row r="15" spans="2:22" ht="18.75">
      <c r="B15" s="276" t="s">
        <v>121</v>
      </c>
      <c r="C15" s="277"/>
      <c r="D15" s="147"/>
      <c r="E15" s="147"/>
      <c r="F15" s="147"/>
      <c r="G15" s="147"/>
      <c r="H15" s="147"/>
      <c r="I15" s="147"/>
      <c r="J15" s="147"/>
      <c r="K15" s="147"/>
      <c r="L15" s="147"/>
      <c r="M15" s="147"/>
      <c r="N15" s="147"/>
      <c r="O15" s="147"/>
      <c r="P15" s="148">
        <f t="shared" si="2"/>
        <v>0</v>
      </c>
      <c r="Q15" s="148">
        <f t="shared" si="3"/>
        <v>0</v>
      </c>
    </row>
    <row r="16" spans="2:22" ht="19.5" thickBot="1">
      <c r="B16" s="278" t="s">
        <v>122</v>
      </c>
      <c r="C16" s="279"/>
      <c r="D16" s="147"/>
      <c r="E16" s="147"/>
      <c r="F16" s="147"/>
      <c r="G16" s="147"/>
      <c r="H16" s="147"/>
      <c r="I16" s="147"/>
      <c r="J16" s="147"/>
      <c r="K16" s="147"/>
      <c r="L16" s="147"/>
      <c r="M16" s="147"/>
      <c r="N16" s="147"/>
      <c r="O16" s="147"/>
      <c r="P16" s="148">
        <f t="shared" si="2"/>
        <v>0</v>
      </c>
      <c r="Q16" s="148">
        <f t="shared" si="3"/>
        <v>0</v>
      </c>
    </row>
    <row r="17" spans="2:17" ht="16.5" thickTop="1"/>
    <row r="18" spans="2:17" ht="19.5" thickBot="1">
      <c r="B18" s="316" t="s">
        <v>124</v>
      </c>
      <c r="C18" s="316"/>
      <c r="D18" s="317" t="str">
        <f>D$4</f>
        <v>1</v>
      </c>
      <c r="E18" s="317" t="str">
        <f t="shared" ref="E18:O18" si="4">E$4</f>
        <v>2</v>
      </c>
      <c r="F18" s="317" t="str">
        <f t="shared" si="4"/>
        <v>3</v>
      </c>
      <c r="G18" s="317" t="str">
        <f t="shared" si="4"/>
        <v>4</v>
      </c>
      <c r="H18" s="317" t="str">
        <f t="shared" si="4"/>
        <v>5</v>
      </c>
      <c r="I18" s="317" t="str">
        <f t="shared" si="4"/>
        <v>6</v>
      </c>
      <c r="J18" s="317" t="str">
        <f t="shared" si="4"/>
        <v>7</v>
      </c>
      <c r="K18" s="317" t="str">
        <f t="shared" si="4"/>
        <v>8</v>
      </c>
      <c r="L18" s="317" t="str">
        <f t="shared" si="4"/>
        <v>9</v>
      </c>
      <c r="M18" s="317" t="str">
        <f t="shared" si="4"/>
        <v>10</v>
      </c>
      <c r="N18" s="317" t="str">
        <f t="shared" si="4"/>
        <v>11</v>
      </c>
      <c r="O18" s="317" t="str">
        <f t="shared" si="4"/>
        <v>12</v>
      </c>
      <c r="P18" s="317" t="s">
        <v>115</v>
      </c>
      <c r="Q18" s="317" t="s">
        <v>116</v>
      </c>
    </row>
    <row r="19" spans="2:17" ht="19.5" thickTop="1">
      <c r="B19" s="318" t="s">
        <v>123</v>
      </c>
      <c r="C19" s="318"/>
      <c r="D19" s="150">
        <f>SUM(D20:D23)</f>
        <v>5500</v>
      </c>
      <c r="E19" s="150">
        <f>SUM(E20:E23)</f>
        <v>0</v>
      </c>
      <c r="F19" s="150">
        <f>SUM(F20:F23)</f>
        <v>0</v>
      </c>
      <c r="G19" s="150">
        <f>SUM(G20:G23)</f>
        <v>0</v>
      </c>
      <c r="H19" s="150">
        <f>SUM(H20:H23)</f>
        <v>0</v>
      </c>
      <c r="I19" s="150">
        <f>SUM(I20:I23)</f>
        <v>0</v>
      </c>
      <c r="J19" s="150">
        <f>SUM(J20:J23)</f>
        <v>0</v>
      </c>
      <c r="K19" s="150">
        <f>SUM(K20:K23)</f>
        <v>0</v>
      </c>
      <c r="L19" s="150">
        <f>SUM(L20:L23)</f>
        <v>0</v>
      </c>
      <c r="M19" s="150">
        <f>SUM(M20:M23)</f>
        <v>0</v>
      </c>
      <c r="N19" s="150">
        <f>SUM(N20:N23)</f>
        <v>0</v>
      </c>
      <c r="O19" s="150">
        <f>SUM(O20:O23)</f>
        <v>0</v>
      </c>
      <c r="P19" s="150">
        <f>SUM(P20:P23)</f>
        <v>5500</v>
      </c>
      <c r="Q19" s="150">
        <f>SUM(Q20:Q23)</f>
        <v>458.33333333333331</v>
      </c>
    </row>
    <row r="20" spans="2:17" ht="18.75">
      <c r="B20" s="276" t="s">
        <v>125</v>
      </c>
      <c r="C20" s="277"/>
      <c r="D20" s="147">
        <v>5500</v>
      </c>
      <c r="E20" s="147"/>
      <c r="F20" s="147"/>
      <c r="G20" s="147"/>
      <c r="H20" s="147"/>
      <c r="I20" s="147"/>
      <c r="J20" s="147"/>
      <c r="K20" s="147"/>
      <c r="L20" s="147"/>
      <c r="M20" s="147"/>
      <c r="N20" s="147"/>
      <c r="O20" s="147"/>
      <c r="P20" s="148">
        <f>SUM(D20:O20)</f>
        <v>5500</v>
      </c>
      <c r="Q20" s="148">
        <f>P20/COLUMNS(D20:O20)</f>
        <v>458.33333333333331</v>
      </c>
    </row>
    <row r="21" spans="2:17" ht="18.75">
      <c r="B21" s="276" t="s">
        <v>126</v>
      </c>
      <c r="C21" s="277"/>
      <c r="D21" s="147"/>
      <c r="E21" s="147"/>
      <c r="F21" s="147"/>
      <c r="G21" s="147"/>
      <c r="H21" s="147"/>
      <c r="I21" s="147"/>
      <c r="J21" s="147"/>
      <c r="K21" s="147"/>
      <c r="L21" s="147"/>
      <c r="M21" s="147"/>
      <c r="N21" s="147"/>
      <c r="O21" s="147"/>
      <c r="P21" s="148">
        <f t="shared" ref="P21:P23" si="5">SUM(D21:O21)</f>
        <v>0</v>
      </c>
      <c r="Q21" s="148">
        <f t="shared" ref="Q21:Q23" si="6">P21/COLUMNS(D21:O21)</f>
        <v>0</v>
      </c>
    </row>
    <row r="22" spans="2:17" ht="18.75">
      <c r="B22" s="276" t="s">
        <v>127</v>
      </c>
      <c r="C22" s="277"/>
      <c r="D22" s="147"/>
      <c r="E22" s="147"/>
      <c r="F22" s="147"/>
      <c r="G22" s="147"/>
      <c r="H22" s="147"/>
      <c r="I22" s="147"/>
      <c r="J22" s="147"/>
      <c r="K22" s="147"/>
      <c r="L22" s="147"/>
      <c r="M22" s="147"/>
      <c r="N22" s="147"/>
      <c r="O22" s="147"/>
      <c r="P22" s="148">
        <f t="shared" si="5"/>
        <v>0</v>
      </c>
      <c r="Q22" s="148">
        <f t="shared" si="6"/>
        <v>0</v>
      </c>
    </row>
    <row r="23" spans="2:17" ht="19.5" thickBot="1">
      <c r="B23" s="278" t="s">
        <v>128</v>
      </c>
      <c r="C23" s="279"/>
      <c r="D23" s="147"/>
      <c r="E23" s="147"/>
      <c r="F23" s="147"/>
      <c r="G23" s="147"/>
      <c r="H23" s="147"/>
      <c r="I23" s="147"/>
      <c r="J23" s="147"/>
      <c r="K23" s="147"/>
      <c r="L23" s="147"/>
      <c r="M23" s="147"/>
      <c r="N23" s="147"/>
      <c r="O23" s="147"/>
      <c r="P23" s="148">
        <f t="shared" si="5"/>
        <v>0</v>
      </c>
      <c r="Q23" s="148">
        <f t="shared" si="6"/>
        <v>0</v>
      </c>
    </row>
    <row r="24" spans="2:17" ht="16.5" thickTop="1"/>
    <row r="25" spans="2:17" ht="19.5" thickBot="1">
      <c r="B25" s="316" t="s">
        <v>129</v>
      </c>
      <c r="C25" s="316"/>
      <c r="D25" s="317" t="str">
        <f>D$4</f>
        <v>1</v>
      </c>
      <c r="E25" s="317" t="str">
        <f t="shared" ref="E25:O25" si="7">E$4</f>
        <v>2</v>
      </c>
      <c r="F25" s="317" t="str">
        <f t="shared" si="7"/>
        <v>3</v>
      </c>
      <c r="G25" s="317" t="str">
        <f t="shared" si="7"/>
        <v>4</v>
      </c>
      <c r="H25" s="317" t="str">
        <f t="shared" si="7"/>
        <v>5</v>
      </c>
      <c r="I25" s="317" t="str">
        <f t="shared" si="7"/>
        <v>6</v>
      </c>
      <c r="J25" s="317" t="str">
        <f t="shared" si="7"/>
        <v>7</v>
      </c>
      <c r="K25" s="317" t="str">
        <f t="shared" si="7"/>
        <v>8</v>
      </c>
      <c r="L25" s="317" t="str">
        <f t="shared" si="7"/>
        <v>9</v>
      </c>
      <c r="M25" s="317" t="str">
        <f t="shared" si="7"/>
        <v>10</v>
      </c>
      <c r="N25" s="317" t="str">
        <f t="shared" si="7"/>
        <v>11</v>
      </c>
      <c r="O25" s="317" t="str">
        <f t="shared" si="7"/>
        <v>12</v>
      </c>
      <c r="P25" s="317" t="s">
        <v>115</v>
      </c>
      <c r="Q25" s="317" t="s">
        <v>116</v>
      </c>
    </row>
    <row r="26" spans="2:17" ht="19.5" thickTop="1">
      <c r="B26" s="318" t="s">
        <v>123</v>
      </c>
      <c r="C26" s="318"/>
      <c r="D26" s="150">
        <f>SUM(D27:D33)</f>
        <v>5</v>
      </c>
      <c r="E26" s="150">
        <f>SUM(E27:E33)</f>
        <v>0</v>
      </c>
      <c r="F26" s="150">
        <f>SUM(F27:F33)</f>
        <v>0</v>
      </c>
      <c r="G26" s="150">
        <f>SUM(G27:G33)</f>
        <v>0</v>
      </c>
      <c r="H26" s="150">
        <f>SUM(H27:H33)</f>
        <v>0</v>
      </c>
      <c r="I26" s="150">
        <f>SUM(I27:I33)</f>
        <v>0</v>
      </c>
      <c r="J26" s="150">
        <f>SUM(J27:J33)</f>
        <v>0</v>
      </c>
      <c r="K26" s="150">
        <f>SUM(K27:K33)</f>
        <v>0</v>
      </c>
      <c r="L26" s="150">
        <f>SUM(L27:L33)</f>
        <v>0</v>
      </c>
      <c r="M26" s="150">
        <f>SUM(M27:M33)</f>
        <v>0</v>
      </c>
      <c r="N26" s="150">
        <f>SUM(N27:N33)</f>
        <v>0</v>
      </c>
      <c r="O26" s="150">
        <f>SUM(O27:O33)</f>
        <v>0</v>
      </c>
      <c r="P26" s="150">
        <f>SUM(P27:P33)</f>
        <v>5</v>
      </c>
      <c r="Q26" s="150">
        <f>SUM(Q27:Q33)</f>
        <v>0.41666666666666669</v>
      </c>
    </row>
    <row r="27" spans="2:17" ht="18.75">
      <c r="B27" s="276" t="s">
        <v>130</v>
      </c>
      <c r="C27" s="277"/>
      <c r="D27" s="147"/>
      <c r="E27" s="147"/>
      <c r="F27" s="147"/>
      <c r="G27" s="147"/>
      <c r="H27" s="147"/>
      <c r="I27" s="147"/>
      <c r="J27" s="147"/>
      <c r="K27" s="147"/>
      <c r="L27" s="147"/>
      <c r="M27" s="147"/>
      <c r="N27" s="147"/>
      <c r="O27" s="147"/>
      <c r="P27" s="148">
        <f>SUM(D27:O27)</f>
        <v>0</v>
      </c>
      <c r="Q27" s="148">
        <f>P27/COLUMNS(D27:O27)</f>
        <v>0</v>
      </c>
    </row>
    <row r="28" spans="2:17" ht="18.75">
      <c r="B28" s="276" t="s">
        <v>131</v>
      </c>
      <c r="C28" s="277"/>
      <c r="D28" s="147"/>
      <c r="E28" s="147"/>
      <c r="F28" s="147"/>
      <c r="G28" s="147"/>
      <c r="H28" s="147"/>
      <c r="I28" s="147"/>
      <c r="J28" s="147"/>
      <c r="K28" s="147"/>
      <c r="L28" s="147"/>
      <c r="M28" s="147"/>
      <c r="N28" s="147"/>
      <c r="O28" s="147"/>
      <c r="P28" s="148">
        <f t="shared" ref="P28:P33" si="8">SUM(D28:O28)</f>
        <v>0</v>
      </c>
      <c r="Q28" s="148">
        <f t="shared" ref="Q28:Q33" si="9">P28/COLUMNS(D28:O28)</f>
        <v>0</v>
      </c>
    </row>
    <row r="29" spans="2:17" ht="18.75">
      <c r="B29" s="276" t="s">
        <v>132</v>
      </c>
      <c r="C29" s="277"/>
      <c r="D29" s="147"/>
      <c r="E29" s="147"/>
      <c r="F29" s="147"/>
      <c r="G29" s="147"/>
      <c r="H29" s="147"/>
      <c r="I29" s="147"/>
      <c r="J29" s="147"/>
      <c r="K29" s="147"/>
      <c r="L29" s="147"/>
      <c r="M29" s="147"/>
      <c r="N29" s="147"/>
      <c r="O29" s="147"/>
      <c r="P29" s="148">
        <f t="shared" si="8"/>
        <v>0</v>
      </c>
      <c r="Q29" s="148">
        <f t="shared" si="9"/>
        <v>0</v>
      </c>
    </row>
    <row r="30" spans="2:17" ht="18.75">
      <c r="B30" s="276" t="s">
        <v>133</v>
      </c>
      <c r="C30" s="277"/>
      <c r="D30" s="147">
        <v>5</v>
      </c>
      <c r="E30" s="147"/>
      <c r="F30" s="147"/>
      <c r="G30" s="147"/>
      <c r="H30" s="147"/>
      <c r="I30" s="147"/>
      <c r="J30" s="147"/>
      <c r="K30" s="147"/>
      <c r="L30" s="147"/>
      <c r="M30" s="147"/>
      <c r="N30" s="147"/>
      <c r="O30" s="147"/>
      <c r="P30" s="148">
        <f t="shared" si="8"/>
        <v>5</v>
      </c>
      <c r="Q30" s="148">
        <f t="shared" si="9"/>
        <v>0.41666666666666669</v>
      </c>
    </row>
    <row r="31" spans="2:17" ht="18.75">
      <c r="B31" s="276" t="s">
        <v>134</v>
      </c>
      <c r="C31" s="277"/>
      <c r="D31" s="147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48">
        <f t="shared" si="8"/>
        <v>0</v>
      </c>
      <c r="Q31" s="148">
        <f t="shared" si="9"/>
        <v>0</v>
      </c>
    </row>
    <row r="32" spans="2:17" ht="18.75">
      <c r="B32" s="276" t="s">
        <v>135</v>
      </c>
      <c r="C32" s="277"/>
      <c r="D32" s="147"/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48"/>
      <c r="Q32" s="148"/>
    </row>
    <row r="33" spans="2:18" ht="19.5" thickBot="1">
      <c r="B33" s="278" t="s">
        <v>128</v>
      </c>
      <c r="C33" s="279"/>
      <c r="D33" s="147"/>
      <c r="E33" s="147"/>
      <c r="F33" s="147"/>
      <c r="G33" s="147"/>
      <c r="H33" s="147"/>
      <c r="I33" s="147"/>
      <c r="J33" s="147"/>
      <c r="K33" s="147"/>
      <c r="L33" s="147"/>
      <c r="M33" s="147"/>
      <c r="N33" s="147"/>
      <c r="O33" s="147"/>
      <c r="P33" s="148">
        <f t="shared" si="8"/>
        <v>0</v>
      </c>
      <c r="Q33" s="148">
        <f t="shared" si="9"/>
        <v>0</v>
      </c>
    </row>
    <row r="34" spans="2:18" ht="19.5" thickTop="1">
      <c r="B34" s="151"/>
      <c r="C34" s="151"/>
      <c r="D34" s="152"/>
      <c r="E34" s="152"/>
      <c r="F34" s="152"/>
      <c r="G34" s="152"/>
      <c r="H34" s="152"/>
      <c r="I34" s="152"/>
      <c r="J34" s="152"/>
      <c r="K34" s="152"/>
      <c r="L34" s="152"/>
      <c r="M34" s="152"/>
      <c r="N34" s="152"/>
      <c r="O34" s="152"/>
      <c r="P34" s="152"/>
      <c r="Q34" s="152"/>
    </row>
    <row r="35" spans="2:18" ht="18.75">
      <c r="B35" s="273" t="s">
        <v>136</v>
      </c>
      <c r="C35" s="273"/>
      <c r="D35" s="146" t="str">
        <f>D$4</f>
        <v>1</v>
      </c>
      <c r="E35" s="146" t="str">
        <f t="shared" ref="E35:O35" si="10">E$4</f>
        <v>2</v>
      </c>
      <c r="F35" s="146" t="str">
        <f t="shared" si="10"/>
        <v>3</v>
      </c>
      <c r="G35" s="146" t="str">
        <f t="shared" si="10"/>
        <v>4</v>
      </c>
      <c r="H35" s="146" t="str">
        <f t="shared" si="10"/>
        <v>5</v>
      </c>
      <c r="I35" s="146" t="str">
        <f t="shared" si="10"/>
        <v>6</v>
      </c>
      <c r="J35" s="146" t="str">
        <f t="shared" si="10"/>
        <v>7</v>
      </c>
      <c r="K35" s="146" t="str">
        <f t="shared" si="10"/>
        <v>8</v>
      </c>
      <c r="L35" s="146" t="str">
        <f t="shared" si="10"/>
        <v>9</v>
      </c>
      <c r="M35" s="146" t="str">
        <f t="shared" si="10"/>
        <v>10</v>
      </c>
      <c r="N35" s="146" t="str">
        <f t="shared" si="10"/>
        <v>11</v>
      </c>
      <c r="O35" s="146" t="str">
        <f t="shared" si="10"/>
        <v>12</v>
      </c>
      <c r="P35" s="146" t="s">
        <v>115</v>
      </c>
      <c r="Q35" s="146" t="s">
        <v>116</v>
      </c>
      <c r="R35" s="146" t="s">
        <v>217</v>
      </c>
    </row>
    <row r="36" spans="2:18" ht="18.75">
      <c r="B36" s="227" t="s">
        <v>137</v>
      </c>
      <c r="C36" s="227" t="s">
        <v>138</v>
      </c>
      <c r="D36" s="147">
        <f>$D$5*R36</f>
        <v>46477.750000000007</v>
      </c>
      <c r="E36" s="241">
        <f>$D$5*SUMPRODUCT(K64:N64,$K$63:$N$63)</f>
        <v>8450.5</v>
      </c>
      <c r="F36" s="147">
        <f t="shared" ref="F36:O42" si="11">$D$5*T36</f>
        <v>0</v>
      </c>
      <c r="G36" s="147">
        <f t="shared" si="11"/>
        <v>0</v>
      </c>
      <c r="H36" s="147">
        <f t="shared" si="11"/>
        <v>0</v>
      </c>
      <c r="I36" s="147">
        <f t="shared" si="11"/>
        <v>0</v>
      </c>
      <c r="J36" s="147">
        <f t="shared" si="11"/>
        <v>0</v>
      </c>
      <c r="K36" s="147">
        <f t="shared" si="11"/>
        <v>0</v>
      </c>
      <c r="L36" s="147">
        <f t="shared" si="11"/>
        <v>0</v>
      </c>
      <c r="M36" s="147">
        <f t="shared" si="11"/>
        <v>0</v>
      </c>
      <c r="N36" s="147">
        <f t="shared" si="11"/>
        <v>0</v>
      </c>
      <c r="O36" s="147">
        <f t="shared" si="11"/>
        <v>0</v>
      </c>
      <c r="P36" s="147">
        <f>SUM(D36:O36)</f>
        <v>54928.250000000007</v>
      </c>
      <c r="Q36" s="147">
        <f>P36/COLUMNS(D36:O36)</f>
        <v>4577.354166666667</v>
      </c>
      <c r="R36" s="249">
        <v>0.55000000000000004</v>
      </c>
    </row>
    <row r="37" spans="2:18" ht="18.75">
      <c r="B37" s="227" t="s">
        <v>139</v>
      </c>
      <c r="C37" s="290" t="s">
        <v>140</v>
      </c>
      <c r="D37" s="288">
        <f>$D$5*R37</f>
        <v>8450.5</v>
      </c>
      <c r="E37" s="292">
        <f>$D$5*SUMPRODUCT(K65:N65,$K$63:$N$63)</f>
        <v>21126.25</v>
      </c>
      <c r="F37" s="288">
        <f t="shared" ref="F37:O37" si="12">$D$5*T38</f>
        <v>0</v>
      </c>
      <c r="G37" s="288">
        <f t="shared" si="12"/>
        <v>0</v>
      </c>
      <c r="H37" s="288">
        <f t="shared" si="12"/>
        <v>0</v>
      </c>
      <c r="I37" s="288">
        <f t="shared" si="12"/>
        <v>0</v>
      </c>
      <c r="J37" s="288">
        <f t="shared" si="12"/>
        <v>0</v>
      </c>
      <c r="K37" s="288">
        <f t="shared" si="12"/>
        <v>0</v>
      </c>
      <c r="L37" s="288">
        <f t="shared" si="12"/>
        <v>0</v>
      </c>
      <c r="M37" s="288">
        <f t="shared" si="12"/>
        <v>0</v>
      </c>
      <c r="N37" s="288">
        <f t="shared" si="12"/>
        <v>0</v>
      </c>
      <c r="O37" s="288">
        <f t="shared" si="12"/>
        <v>0</v>
      </c>
      <c r="P37" s="288">
        <f>SUM(D37:O38)</f>
        <v>29576.75</v>
      </c>
      <c r="Q37" s="285">
        <f>P37/COLUMNS(D37:O38)</f>
        <v>2464.7291666666665</v>
      </c>
      <c r="R37" s="287">
        <v>0.1</v>
      </c>
    </row>
    <row r="38" spans="2:18" ht="18.75">
      <c r="B38" s="227" t="s">
        <v>498</v>
      </c>
      <c r="C38" s="291"/>
      <c r="D38" s="289"/>
      <c r="E38" s="293"/>
      <c r="F38" s="289"/>
      <c r="G38" s="289"/>
      <c r="H38" s="289"/>
      <c r="I38" s="289"/>
      <c r="J38" s="289"/>
      <c r="K38" s="289"/>
      <c r="L38" s="289"/>
      <c r="M38" s="289"/>
      <c r="N38" s="289"/>
      <c r="O38" s="289"/>
      <c r="P38" s="289"/>
      <c r="Q38" s="286"/>
      <c r="R38" s="287"/>
    </row>
    <row r="39" spans="2:18" ht="18.75">
      <c r="B39" s="274" t="s">
        <v>141</v>
      </c>
      <c r="C39" s="227" t="s">
        <v>142</v>
      </c>
      <c r="D39" s="147">
        <f t="shared" ref="D39:D42" si="13">$D$5*R39</f>
        <v>8450.5</v>
      </c>
      <c r="E39" s="241">
        <f>$D$5*SUMPRODUCT(K66:N66,$K$63:$N$63)</f>
        <v>27886.649999999998</v>
      </c>
      <c r="F39" s="147">
        <f t="shared" si="11"/>
        <v>0</v>
      </c>
      <c r="G39" s="147">
        <f t="shared" si="11"/>
        <v>0</v>
      </c>
      <c r="H39" s="147">
        <f t="shared" si="11"/>
        <v>0</v>
      </c>
      <c r="I39" s="147">
        <f t="shared" si="11"/>
        <v>0</v>
      </c>
      <c r="J39" s="147">
        <f t="shared" si="11"/>
        <v>0</v>
      </c>
      <c r="K39" s="147">
        <f t="shared" si="11"/>
        <v>0</v>
      </c>
      <c r="L39" s="147">
        <f t="shared" si="11"/>
        <v>0</v>
      </c>
      <c r="M39" s="147">
        <f t="shared" si="11"/>
        <v>0</v>
      </c>
      <c r="N39" s="147">
        <f t="shared" si="11"/>
        <v>0</v>
      </c>
      <c r="O39" s="147">
        <f t="shared" si="11"/>
        <v>0</v>
      </c>
      <c r="P39" s="147">
        <f t="shared" ref="P39:P42" si="14">SUM(D39:O39)</f>
        <v>36337.149999999994</v>
      </c>
      <c r="Q39" s="147">
        <f t="shared" ref="Q39:Q42" si="15">P39/COLUMNS(D39:O39)</f>
        <v>3028.0958333333328</v>
      </c>
      <c r="R39" s="249">
        <v>0.1</v>
      </c>
    </row>
    <row r="40" spans="2:18" ht="18.75">
      <c r="B40" s="275"/>
      <c r="C40" s="227" t="s">
        <v>143</v>
      </c>
      <c r="D40" s="147">
        <f t="shared" si="13"/>
        <v>8450.5</v>
      </c>
      <c r="E40" s="241">
        <f>$D$5*SUMPRODUCT(K67:N67,$K$63:$N$63)</f>
        <v>3380.2000000000007</v>
      </c>
      <c r="F40" s="147">
        <f t="shared" si="11"/>
        <v>0</v>
      </c>
      <c r="G40" s="147">
        <f t="shared" si="11"/>
        <v>0</v>
      </c>
      <c r="H40" s="147">
        <f t="shared" si="11"/>
        <v>0</v>
      </c>
      <c r="I40" s="147">
        <f t="shared" si="11"/>
        <v>0</v>
      </c>
      <c r="J40" s="147">
        <f t="shared" si="11"/>
        <v>0</v>
      </c>
      <c r="K40" s="147">
        <f t="shared" si="11"/>
        <v>0</v>
      </c>
      <c r="L40" s="147">
        <f t="shared" si="11"/>
        <v>0</v>
      </c>
      <c r="M40" s="147">
        <f t="shared" si="11"/>
        <v>0</v>
      </c>
      <c r="N40" s="147">
        <f t="shared" si="11"/>
        <v>0</v>
      </c>
      <c r="O40" s="147">
        <f t="shared" si="11"/>
        <v>0</v>
      </c>
      <c r="P40" s="147">
        <f t="shared" si="14"/>
        <v>11830.7</v>
      </c>
      <c r="Q40" s="147">
        <f t="shared" si="15"/>
        <v>985.89166666666677</v>
      </c>
      <c r="R40" s="249">
        <v>0.1</v>
      </c>
    </row>
    <row r="41" spans="2:18" ht="18.75">
      <c r="B41" s="275"/>
      <c r="C41" s="227" t="s">
        <v>144</v>
      </c>
      <c r="D41" s="147">
        <f t="shared" si="13"/>
        <v>8450.5</v>
      </c>
      <c r="E41" s="241">
        <f>$D$5*SUMPRODUCT(K68:N68,$K$63:$N$63)</f>
        <v>3380.2000000000007</v>
      </c>
      <c r="F41" s="147">
        <f t="shared" si="11"/>
        <v>0</v>
      </c>
      <c r="G41" s="147">
        <f t="shared" si="11"/>
        <v>0</v>
      </c>
      <c r="H41" s="147">
        <f t="shared" si="11"/>
        <v>0</v>
      </c>
      <c r="I41" s="147">
        <f t="shared" si="11"/>
        <v>0</v>
      </c>
      <c r="J41" s="147">
        <f t="shared" si="11"/>
        <v>0</v>
      </c>
      <c r="K41" s="147">
        <f t="shared" si="11"/>
        <v>0</v>
      </c>
      <c r="L41" s="147">
        <f t="shared" si="11"/>
        <v>0</v>
      </c>
      <c r="M41" s="147">
        <f t="shared" si="11"/>
        <v>0</v>
      </c>
      <c r="N41" s="147">
        <f t="shared" si="11"/>
        <v>0</v>
      </c>
      <c r="O41" s="147">
        <f t="shared" si="11"/>
        <v>0</v>
      </c>
      <c r="P41" s="147">
        <f t="shared" si="14"/>
        <v>11830.7</v>
      </c>
      <c r="Q41" s="147">
        <f t="shared" si="15"/>
        <v>985.89166666666677</v>
      </c>
      <c r="R41" s="249">
        <v>0.1</v>
      </c>
    </row>
    <row r="42" spans="2:18" ht="19.5" thickBot="1">
      <c r="B42" s="275"/>
      <c r="C42" s="252" t="s">
        <v>145</v>
      </c>
      <c r="D42" s="253">
        <f t="shared" si="13"/>
        <v>4225.25</v>
      </c>
      <c r="E42" s="254">
        <f>$D$5*SUMPRODUCT(K69:N69,$K$63:$N$63)</f>
        <v>20281.2</v>
      </c>
      <c r="F42" s="253">
        <f t="shared" si="11"/>
        <v>0</v>
      </c>
      <c r="G42" s="253">
        <f t="shared" si="11"/>
        <v>0</v>
      </c>
      <c r="H42" s="253">
        <f t="shared" si="11"/>
        <v>0</v>
      </c>
      <c r="I42" s="253">
        <f t="shared" si="11"/>
        <v>0</v>
      </c>
      <c r="J42" s="253">
        <f t="shared" si="11"/>
        <v>0</v>
      </c>
      <c r="K42" s="253">
        <f t="shared" si="11"/>
        <v>0</v>
      </c>
      <c r="L42" s="253">
        <f t="shared" si="11"/>
        <v>0</v>
      </c>
      <c r="M42" s="253">
        <f t="shared" si="11"/>
        <v>0</v>
      </c>
      <c r="N42" s="253">
        <f t="shared" si="11"/>
        <v>0</v>
      </c>
      <c r="O42" s="253">
        <f t="shared" si="11"/>
        <v>0</v>
      </c>
      <c r="P42" s="253">
        <f t="shared" si="14"/>
        <v>24506.45</v>
      </c>
      <c r="Q42" s="253">
        <f t="shared" si="15"/>
        <v>2042.2041666666667</v>
      </c>
      <c r="R42" s="255">
        <v>0.05</v>
      </c>
    </row>
    <row r="43" spans="2:18" ht="20.25" thickTop="1" thickBot="1">
      <c r="B43" s="257"/>
      <c r="C43" s="258" t="s">
        <v>123</v>
      </c>
      <c r="D43" s="259">
        <f>SUM(D39:D42)</f>
        <v>29576.75</v>
      </c>
      <c r="E43" s="259">
        <f t="shared" ref="E43:O43" si="16">SUM(E39:E42)</f>
        <v>54928.25</v>
      </c>
      <c r="F43" s="259">
        <f t="shared" si="16"/>
        <v>0</v>
      </c>
      <c r="G43" s="259">
        <f t="shared" si="16"/>
        <v>0</v>
      </c>
      <c r="H43" s="259">
        <f t="shared" si="16"/>
        <v>0</v>
      </c>
      <c r="I43" s="259">
        <f t="shared" si="16"/>
        <v>0</v>
      </c>
      <c r="J43" s="259">
        <f t="shared" si="16"/>
        <v>0</v>
      </c>
      <c r="K43" s="259">
        <f t="shared" si="16"/>
        <v>0</v>
      </c>
      <c r="L43" s="259">
        <f t="shared" si="16"/>
        <v>0</v>
      </c>
      <c r="M43" s="259">
        <f t="shared" si="16"/>
        <v>0</v>
      </c>
      <c r="N43" s="259">
        <f t="shared" si="16"/>
        <v>0</v>
      </c>
      <c r="O43" s="259">
        <f t="shared" si="16"/>
        <v>0</v>
      </c>
      <c r="P43" s="253">
        <f t="shared" ref="P43" si="17">SUM(D43:O43)</f>
        <v>84505</v>
      </c>
      <c r="Q43" s="253">
        <f t="shared" ref="Q43" si="18">P43/COLUMNS(D43:O43)</f>
        <v>7042.083333333333</v>
      </c>
      <c r="R43" s="255">
        <f t="shared" ref="R43" si="19">SUM(R39:R42)</f>
        <v>0.35000000000000003</v>
      </c>
    </row>
    <row r="44" spans="2:18" ht="19.5" thickTop="1">
      <c r="B44" s="251" t="s">
        <v>123</v>
      </c>
      <c r="C44" s="251"/>
      <c r="D44" s="256">
        <f t="shared" ref="D44:R44" si="20">SUM(D36:D42)</f>
        <v>84505</v>
      </c>
      <c r="E44" s="256">
        <f t="shared" si="20"/>
        <v>84504.999999999985</v>
      </c>
      <c r="F44" s="256">
        <f t="shared" si="20"/>
        <v>0</v>
      </c>
      <c r="G44" s="256">
        <f t="shared" si="20"/>
        <v>0</v>
      </c>
      <c r="H44" s="256">
        <f t="shared" si="20"/>
        <v>0</v>
      </c>
      <c r="I44" s="256">
        <f t="shared" si="20"/>
        <v>0</v>
      </c>
      <c r="J44" s="256">
        <f t="shared" si="20"/>
        <v>0</v>
      </c>
      <c r="K44" s="256">
        <f t="shared" si="20"/>
        <v>0</v>
      </c>
      <c r="L44" s="256">
        <f t="shared" si="20"/>
        <v>0</v>
      </c>
      <c r="M44" s="256">
        <f t="shared" si="20"/>
        <v>0</v>
      </c>
      <c r="N44" s="256">
        <f t="shared" si="20"/>
        <v>0</v>
      </c>
      <c r="O44" s="256">
        <f t="shared" si="20"/>
        <v>0</v>
      </c>
      <c r="P44" s="256">
        <f t="shared" si="20"/>
        <v>169010.00000000003</v>
      </c>
      <c r="Q44" s="256">
        <f t="shared" si="20"/>
        <v>14084.166666666666</v>
      </c>
      <c r="R44" s="250">
        <f t="shared" si="20"/>
        <v>1</v>
      </c>
    </row>
    <row r="45" spans="2:18" ht="18.75">
      <c r="B45" s="151"/>
      <c r="C45" s="151"/>
      <c r="D45" s="152"/>
      <c r="E45" s="152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</row>
    <row r="46" spans="2:18" ht="18.75">
      <c r="B46" s="226" t="s">
        <v>146</v>
      </c>
      <c r="C46" s="226"/>
      <c r="D46" s="146" t="str">
        <f>D$4</f>
        <v>1</v>
      </c>
      <c r="E46" s="146" t="str">
        <f t="shared" ref="E46:O46" si="21">E$4</f>
        <v>2</v>
      </c>
      <c r="F46" s="146" t="str">
        <f t="shared" si="21"/>
        <v>3</v>
      </c>
      <c r="G46" s="146" t="str">
        <f t="shared" si="21"/>
        <v>4</v>
      </c>
      <c r="H46" s="146" t="str">
        <f t="shared" si="21"/>
        <v>5</v>
      </c>
      <c r="I46" s="146" t="str">
        <f t="shared" si="21"/>
        <v>6</v>
      </c>
      <c r="J46" s="146" t="str">
        <f t="shared" si="21"/>
        <v>7</v>
      </c>
      <c r="K46" s="146" t="str">
        <f t="shared" si="21"/>
        <v>8</v>
      </c>
      <c r="L46" s="146" t="str">
        <f t="shared" si="21"/>
        <v>9</v>
      </c>
      <c r="M46" s="146" t="str">
        <f t="shared" si="21"/>
        <v>10</v>
      </c>
      <c r="N46" s="146" t="str">
        <f t="shared" si="21"/>
        <v>11</v>
      </c>
      <c r="O46" s="146" t="str">
        <f t="shared" si="21"/>
        <v>12</v>
      </c>
      <c r="P46" s="146" t="s">
        <v>115</v>
      </c>
      <c r="Q46" s="146" t="s">
        <v>116</v>
      </c>
      <c r="R46" s="146" t="s">
        <v>218</v>
      </c>
    </row>
    <row r="47" spans="2:18" ht="18.75">
      <c r="B47" s="227" t="s">
        <v>147</v>
      </c>
      <c r="C47" s="227"/>
      <c r="D47" s="147">
        <f t="shared" ref="D47:O49" si="22">SUM(D$39:D$42)*$R47</f>
        <v>8873.0249999999996</v>
      </c>
      <c r="E47" s="147">
        <f t="shared" si="22"/>
        <v>16478.474999999999</v>
      </c>
      <c r="F47" s="147">
        <f t="shared" si="22"/>
        <v>0</v>
      </c>
      <c r="G47" s="147">
        <f t="shared" si="22"/>
        <v>0</v>
      </c>
      <c r="H47" s="147">
        <f t="shared" si="22"/>
        <v>0</v>
      </c>
      <c r="I47" s="147">
        <f t="shared" si="22"/>
        <v>0</v>
      </c>
      <c r="J47" s="147">
        <f t="shared" si="22"/>
        <v>0</v>
      </c>
      <c r="K47" s="147">
        <f t="shared" si="22"/>
        <v>0</v>
      </c>
      <c r="L47" s="147">
        <f t="shared" si="22"/>
        <v>0</v>
      </c>
      <c r="M47" s="147">
        <f t="shared" si="22"/>
        <v>0</v>
      </c>
      <c r="N47" s="147">
        <f t="shared" si="22"/>
        <v>0</v>
      </c>
      <c r="O47" s="147">
        <f t="shared" si="22"/>
        <v>0</v>
      </c>
      <c r="P47" s="148">
        <f>SUM(D47:O47)</f>
        <v>25351.5</v>
      </c>
      <c r="Q47" s="148">
        <f>P47/COLUMNS(D47:O47)</f>
        <v>2112.625</v>
      </c>
      <c r="R47" s="249">
        <v>0.3</v>
      </c>
    </row>
    <row r="48" spans="2:18" ht="18.75">
      <c r="B48" s="227" t="s">
        <v>148</v>
      </c>
      <c r="C48" s="227"/>
      <c r="D48" s="147">
        <f t="shared" si="22"/>
        <v>11830.7</v>
      </c>
      <c r="E48" s="147">
        <f t="shared" si="22"/>
        <v>21971.300000000003</v>
      </c>
      <c r="F48" s="147">
        <f t="shared" si="22"/>
        <v>0</v>
      </c>
      <c r="G48" s="147">
        <f t="shared" si="22"/>
        <v>0</v>
      </c>
      <c r="H48" s="147">
        <f t="shared" si="22"/>
        <v>0</v>
      </c>
      <c r="I48" s="147">
        <f t="shared" si="22"/>
        <v>0</v>
      </c>
      <c r="J48" s="147">
        <f t="shared" si="22"/>
        <v>0</v>
      </c>
      <c r="K48" s="147">
        <f t="shared" si="22"/>
        <v>0</v>
      </c>
      <c r="L48" s="147">
        <f t="shared" si="22"/>
        <v>0</v>
      </c>
      <c r="M48" s="147">
        <f t="shared" si="22"/>
        <v>0</v>
      </c>
      <c r="N48" s="147">
        <f t="shared" si="22"/>
        <v>0</v>
      </c>
      <c r="O48" s="147">
        <f t="shared" si="22"/>
        <v>0</v>
      </c>
      <c r="P48" s="148">
        <f t="shared" ref="P48:P49" si="23">SUM(D48:O48)</f>
        <v>33802</v>
      </c>
      <c r="Q48" s="148">
        <f t="shared" ref="Q48:Q49" si="24">P48/COLUMNS(D48:O48)</f>
        <v>2816.8333333333335</v>
      </c>
      <c r="R48" s="249">
        <v>0.4</v>
      </c>
    </row>
    <row r="49" spans="2:18" ht="19.5" thickBot="1">
      <c r="B49" s="252" t="s">
        <v>149</v>
      </c>
      <c r="C49" s="252"/>
      <c r="D49" s="253">
        <f t="shared" si="22"/>
        <v>8873.0249999999996</v>
      </c>
      <c r="E49" s="253">
        <f t="shared" si="22"/>
        <v>16478.474999999999</v>
      </c>
      <c r="F49" s="253">
        <f t="shared" si="22"/>
        <v>0</v>
      </c>
      <c r="G49" s="253">
        <f t="shared" si="22"/>
        <v>0</v>
      </c>
      <c r="H49" s="253">
        <f t="shared" si="22"/>
        <v>0</v>
      </c>
      <c r="I49" s="253">
        <f t="shared" si="22"/>
        <v>0</v>
      </c>
      <c r="J49" s="253">
        <f t="shared" si="22"/>
        <v>0</v>
      </c>
      <c r="K49" s="253">
        <f t="shared" si="22"/>
        <v>0</v>
      </c>
      <c r="L49" s="253">
        <f t="shared" si="22"/>
        <v>0</v>
      </c>
      <c r="M49" s="253">
        <f t="shared" si="22"/>
        <v>0</v>
      </c>
      <c r="N49" s="253">
        <f t="shared" si="22"/>
        <v>0</v>
      </c>
      <c r="O49" s="253">
        <f t="shared" si="22"/>
        <v>0</v>
      </c>
      <c r="P49" s="260">
        <f t="shared" si="23"/>
        <v>25351.5</v>
      </c>
      <c r="Q49" s="260">
        <f t="shared" si="24"/>
        <v>2112.625</v>
      </c>
      <c r="R49" s="255">
        <v>0.3</v>
      </c>
    </row>
    <row r="50" spans="2:18" ht="19.5" thickTop="1">
      <c r="B50" s="251" t="s">
        <v>123</v>
      </c>
      <c r="C50" s="251"/>
      <c r="D50" s="256">
        <f t="shared" ref="D50:R50" si="25">SUM(D47:D49)</f>
        <v>29576.75</v>
      </c>
      <c r="E50" s="256">
        <f t="shared" si="25"/>
        <v>54928.25</v>
      </c>
      <c r="F50" s="256">
        <f t="shared" si="25"/>
        <v>0</v>
      </c>
      <c r="G50" s="256">
        <f t="shared" si="25"/>
        <v>0</v>
      </c>
      <c r="H50" s="256">
        <f t="shared" si="25"/>
        <v>0</v>
      </c>
      <c r="I50" s="256">
        <f t="shared" si="25"/>
        <v>0</v>
      </c>
      <c r="J50" s="256">
        <f t="shared" si="25"/>
        <v>0</v>
      </c>
      <c r="K50" s="256">
        <f t="shared" si="25"/>
        <v>0</v>
      </c>
      <c r="L50" s="256">
        <f t="shared" si="25"/>
        <v>0</v>
      </c>
      <c r="M50" s="256">
        <f t="shared" si="25"/>
        <v>0</v>
      </c>
      <c r="N50" s="256">
        <f t="shared" si="25"/>
        <v>0</v>
      </c>
      <c r="O50" s="256">
        <f t="shared" si="25"/>
        <v>0</v>
      </c>
      <c r="P50" s="256">
        <f t="shared" si="25"/>
        <v>84505</v>
      </c>
      <c r="Q50" s="256">
        <f t="shared" si="25"/>
        <v>7042.0833333333339</v>
      </c>
      <c r="R50" s="250">
        <f t="shared" si="25"/>
        <v>1</v>
      </c>
    </row>
    <row r="51" spans="2:18" ht="18.75">
      <c r="B51" s="151"/>
      <c r="C51" s="151"/>
      <c r="D51" s="152"/>
      <c r="E51" s="152"/>
      <c r="F51" s="152"/>
      <c r="G51" s="152"/>
      <c r="H51" s="152"/>
      <c r="I51" s="152"/>
      <c r="J51" s="152"/>
      <c r="K51" s="152"/>
      <c r="L51" s="152"/>
      <c r="M51" s="152"/>
      <c r="N51" s="152"/>
      <c r="O51" s="152"/>
      <c r="P51" s="152"/>
      <c r="Q51" s="152"/>
    </row>
    <row r="52" spans="2:18" ht="18.75">
      <c r="B52" s="226" t="s">
        <v>219</v>
      </c>
      <c r="C52" s="226"/>
      <c r="D52" s="146" t="str">
        <f>D$4</f>
        <v>1</v>
      </c>
      <c r="E52" s="146" t="str">
        <f t="shared" ref="E52:O52" si="26">E$4</f>
        <v>2</v>
      </c>
      <c r="F52" s="146" t="str">
        <f t="shared" si="26"/>
        <v>3</v>
      </c>
      <c r="G52" s="146" t="str">
        <f t="shared" si="26"/>
        <v>4</v>
      </c>
      <c r="H52" s="146" t="str">
        <f t="shared" si="26"/>
        <v>5</v>
      </c>
      <c r="I52" s="146" t="str">
        <f t="shared" si="26"/>
        <v>6</v>
      </c>
      <c r="J52" s="146" t="str">
        <f t="shared" si="26"/>
        <v>7</v>
      </c>
      <c r="K52" s="146" t="str">
        <f t="shared" si="26"/>
        <v>8</v>
      </c>
      <c r="L52" s="146" t="str">
        <f t="shared" si="26"/>
        <v>9</v>
      </c>
      <c r="M52" s="146" t="str">
        <f t="shared" si="26"/>
        <v>10</v>
      </c>
      <c r="N52" s="146" t="str">
        <f t="shared" si="26"/>
        <v>11</v>
      </c>
      <c r="O52" s="146" t="str">
        <f t="shared" si="26"/>
        <v>12</v>
      </c>
      <c r="P52" s="146" t="s">
        <v>115</v>
      </c>
      <c r="Q52" s="146" t="s">
        <v>220</v>
      </c>
    </row>
    <row r="53" spans="2:18" ht="18.75">
      <c r="B53" s="227" t="s">
        <v>147</v>
      </c>
      <c r="C53" s="227"/>
      <c r="D53" s="147">
        <v>1000</v>
      </c>
      <c r="E53" s="147">
        <v>954</v>
      </c>
      <c r="F53" s="147">
        <v>1111</v>
      </c>
      <c r="G53" s="147"/>
      <c r="H53" s="147"/>
      <c r="I53" s="147"/>
      <c r="J53" s="147"/>
      <c r="K53" s="147"/>
      <c r="L53" s="147"/>
      <c r="M53" s="147"/>
      <c r="N53" s="147"/>
      <c r="O53" s="147"/>
      <c r="P53" s="148">
        <f>SUM(D53:O53)</f>
        <v>3065</v>
      </c>
      <c r="Q53" s="148"/>
    </row>
    <row r="54" spans="2:18" ht="18.75">
      <c r="B54" s="227" t="s">
        <v>148</v>
      </c>
      <c r="C54" s="227"/>
      <c r="D54" s="147">
        <v>2000</v>
      </c>
      <c r="E54" s="147">
        <v>1500</v>
      </c>
      <c r="F54" s="147"/>
      <c r="G54" s="147"/>
      <c r="H54" s="147"/>
      <c r="I54" s="147"/>
      <c r="J54" s="147"/>
      <c r="K54" s="147"/>
      <c r="L54" s="147"/>
      <c r="M54" s="147"/>
      <c r="N54" s="147"/>
      <c r="O54" s="147"/>
      <c r="P54" s="148">
        <f t="shared" ref="P54:P55" si="27">SUM(D54:O54)</f>
        <v>3500</v>
      </c>
      <c r="Q54" s="148"/>
    </row>
    <row r="55" spans="2:18" ht="18.75">
      <c r="B55" s="227" t="s">
        <v>149</v>
      </c>
      <c r="C55" s="227"/>
      <c r="D55" s="147">
        <v>1500</v>
      </c>
      <c r="E55" s="147">
        <v>1600</v>
      </c>
      <c r="F55" s="147"/>
      <c r="G55" s="147"/>
      <c r="H55" s="147"/>
      <c r="I55" s="147"/>
      <c r="J55" s="147"/>
      <c r="K55" s="147"/>
      <c r="L55" s="147"/>
      <c r="M55" s="147"/>
      <c r="N55" s="147"/>
      <c r="O55" s="147"/>
      <c r="P55" s="148">
        <f t="shared" si="27"/>
        <v>3100</v>
      </c>
      <c r="Q55" s="148"/>
    </row>
    <row r="56" spans="2:18" ht="20.25" thickTop="1" thickBot="1">
      <c r="B56" s="149" t="s">
        <v>123</v>
      </c>
      <c r="C56" s="149"/>
      <c r="D56" s="150">
        <f t="shared" ref="D56:Q56" si="28">SUM(D53:D55)</f>
        <v>4500</v>
      </c>
      <c r="E56" s="150">
        <f t="shared" si="28"/>
        <v>4054</v>
      </c>
      <c r="F56" s="150">
        <f t="shared" si="28"/>
        <v>1111</v>
      </c>
      <c r="G56" s="150">
        <f t="shared" si="28"/>
        <v>0</v>
      </c>
      <c r="H56" s="150">
        <f t="shared" si="28"/>
        <v>0</v>
      </c>
      <c r="I56" s="150">
        <f t="shared" si="28"/>
        <v>0</v>
      </c>
      <c r="J56" s="150">
        <f t="shared" si="28"/>
        <v>0</v>
      </c>
      <c r="K56" s="150">
        <f t="shared" si="28"/>
        <v>0</v>
      </c>
      <c r="L56" s="150">
        <f t="shared" si="28"/>
        <v>0</v>
      </c>
      <c r="M56" s="150">
        <f t="shared" si="28"/>
        <v>0</v>
      </c>
      <c r="N56" s="150">
        <f t="shared" si="28"/>
        <v>0</v>
      </c>
      <c r="O56" s="150">
        <f t="shared" si="28"/>
        <v>0</v>
      </c>
      <c r="P56" s="150">
        <f t="shared" si="28"/>
        <v>9665</v>
      </c>
      <c r="Q56" s="150">
        <f t="shared" si="28"/>
        <v>0</v>
      </c>
    </row>
    <row r="57" spans="2:18" ht="20.25" thickTop="1" thickBot="1">
      <c r="B57" s="149" t="s">
        <v>222</v>
      </c>
      <c r="C57" s="149"/>
      <c r="D57" s="150">
        <f>D56</f>
        <v>4500</v>
      </c>
      <c r="E57" s="150">
        <f>SUM($D$56:E56)</f>
        <v>8554</v>
      </c>
      <c r="F57" s="150">
        <f>SUM($D$56:F56)</f>
        <v>9665</v>
      </c>
      <c r="G57" s="150">
        <f>SUM($D$56:G56)</f>
        <v>9665</v>
      </c>
      <c r="H57" s="150">
        <f>SUM($D$56:H56)</f>
        <v>9665</v>
      </c>
      <c r="I57" s="150">
        <f>SUM($D$56:I56)</f>
        <v>9665</v>
      </c>
      <c r="J57" s="150">
        <f>SUM($D$56:J56)</f>
        <v>9665</v>
      </c>
      <c r="K57" s="150">
        <f>SUM($D$56:K56)</f>
        <v>9665</v>
      </c>
      <c r="L57" s="150">
        <f>SUM($D$56:L56)</f>
        <v>9665</v>
      </c>
      <c r="M57" s="150">
        <f>SUM($D$56:M56)</f>
        <v>9665</v>
      </c>
      <c r="N57" s="150">
        <f>SUM($D$56:N56)</f>
        <v>9665</v>
      </c>
      <c r="O57" s="150">
        <f>SUM($D$56:O56)</f>
        <v>9665</v>
      </c>
      <c r="P57" s="150"/>
      <c r="Q57" s="150">
        <f>SUM(Q54:Q56)</f>
        <v>0</v>
      </c>
    </row>
    <row r="58" spans="2:18" ht="20.25" thickTop="1" thickBot="1">
      <c r="B58" s="149" t="s">
        <v>221</v>
      </c>
      <c r="C58" s="149"/>
      <c r="D58" s="240">
        <f>D56/(SUM($D$50:D50))</f>
        <v>0.15214653401742922</v>
      </c>
      <c r="E58" s="240">
        <f>E56/(SUM($D$50:E50))</f>
        <v>4.7973492692740073E-2</v>
      </c>
      <c r="F58" s="240">
        <f>F56/(SUM($D$50:F50))</f>
        <v>1.3147151056150524E-2</v>
      </c>
      <c r="G58" s="240">
        <f>G56/(SUM($D$50:G50))</f>
        <v>0</v>
      </c>
      <c r="H58" s="240">
        <f>H56/(SUM($D$50:H50))</f>
        <v>0</v>
      </c>
      <c r="I58" s="240">
        <f>I56/(SUM($D$50:I50))</f>
        <v>0</v>
      </c>
      <c r="J58" s="240">
        <f>J56/(SUM($D$50:J50))</f>
        <v>0</v>
      </c>
      <c r="K58" s="240">
        <f>K56/(SUM($D$50:K50))</f>
        <v>0</v>
      </c>
      <c r="L58" s="240">
        <f>L56/(SUM($D$50:L50))</f>
        <v>0</v>
      </c>
      <c r="M58" s="240">
        <f>M56/(SUM($D$50:M50))</f>
        <v>0</v>
      </c>
      <c r="N58" s="240">
        <f>N56/(SUM($D$50:N50))</f>
        <v>0</v>
      </c>
      <c r="O58" s="240">
        <f>O56/(SUM($D$50:O50))</f>
        <v>0</v>
      </c>
      <c r="P58" s="150"/>
      <c r="Q58" s="150">
        <f ca="1">SUM(Q55:Q58)</f>
        <v>0</v>
      </c>
    </row>
    <row r="59" spans="2:18" ht="19.5" thickTop="1">
      <c r="B59" s="149" t="s">
        <v>223</v>
      </c>
      <c r="C59" s="149"/>
      <c r="D59" s="240">
        <f>D57/D50</f>
        <v>0.15214653401742922</v>
      </c>
      <c r="E59" s="240">
        <f>E57/SUM($D$50:E50)</f>
        <v>0.10122477959884031</v>
      </c>
      <c r="F59" s="240">
        <f>F57/SUM($D$50:F50)</f>
        <v>0.11437193065499082</v>
      </c>
      <c r="G59" s="240">
        <f>G57/SUM($D$50:G50)</f>
        <v>0.11437193065499082</v>
      </c>
      <c r="H59" s="240">
        <f>H57/SUM($D$50:H50)</f>
        <v>0.11437193065499082</v>
      </c>
      <c r="I59" s="240">
        <f>I57/SUM($D$50:I50)</f>
        <v>0.11437193065499082</v>
      </c>
      <c r="J59" s="240">
        <f>J57/SUM($D$50:J50)</f>
        <v>0.11437193065499082</v>
      </c>
      <c r="K59" s="240">
        <f>K57/SUM($D$50:K50)</f>
        <v>0.11437193065499082</v>
      </c>
      <c r="L59" s="240">
        <f>L57/SUM($D$50:L50)</f>
        <v>0.11437193065499082</v>
      </c>
      <c r="M59" s="240">
        <f>M57/SUM($D$50:M50)</f>
        <v>0.11437193065499082</v>
      </c>
      <c r="N59" s="240">
        <f>N57/SUM($D$50:N50)</f>
        <v>0.11437193065499082</v>
      </c>
      <c r="O59" s="240">
        <f>O57/SUM($D$50:O50)</f>
        <v>0.11437193065499082</v>
      </c>
      <c r="P59" s="150"/>
      <c r="Q59" s="150">
        <f ca="1">SUM(Q58:Q60)</f>
        <v>0</v>
      </c>
    </row>
    <row r="60" spans="2:18" ht="18.75">
      <c r="B60" s="151"/>
      <c r="C60" s="151"/>
      <c r="D60" s="152"/>
      <c r="E60" s="152"/>
      <c r="F60" s="152"/>
      <c r="G60" s="152"/>
      <c r="H60" s="152"/>
      <c r="I60" s="152"/>
      <c r="J60" s="152"/>
      <c r="K60" s="152"/>
      <c r="L60" s="152"/>
      <c r="M60" s="152"/>
      <c r="N60" s="152"/>
      <c r="O60" s="152"/>
      <c r="P60" s="152"/>
      <c r="Q60" s="152"/>
    </row>
    <row r="61" spans="2:18" ht="18.75">
      <c r="B61" s="151"/>
      <c r="C61" s="151"/>
      <c r="D61" s="152"/>
      <c r="E61" s="152"/>
      <c r="F61" s="152"/>
      <c r="G61" s="152"/>
      <c r="H61" s="152"/>
      <c r="I61" s="152"/>
      <c r="J61" s="152"/>
      <c r="K61" s="152"/>
      <c r="L61" s="152"/>
      <c r="M61" s="152"/>
      <c r="N61" s="152"/>
      <c r="O61" s="152"/>
      <c r="P61" s="152"/>
      <c r="Q61" s="152"/>
    </row>
    <row r="62" spans="2:18" ht="18.75">
      <c r="B62" s="226" t="s">
        <v>224</v>
      </c>
      <c r="C62" s="146" t="s">
        <v>225</v>
      </c>
      <c r="D62" s="146" t="s">
        <v>226</v>
      </c>
      <c r="E62" s="146" t="s">
        <v>227</v>
      </c>
      <c r="F62" s="146" t="s">
        <v>228</v>
      </c>
      <c r="G62" s="146" t="s">
        <v>229</v>
      </c>
      <c r="H62" s="146" t="s">
        <v>230</v>
      </c>
      <c r="J62" s="226"/>
      <c r="K62" s="227" t="s">
        <v>231</v>
      </c>
      <c r="L62" s="227" t="s">
        <v>232</v>
      </c>
      <c r="M62" s="227" t="s">
        <v>233</v>
      </c>
      <c r="N62" s="237" t="s">
        <v>234</v>
      </c>
    </row>
    <row r="63" spans="2:18" ht="18.75">
      <c r="B63" s="243"/>
      <c r="C63" s="244"/>
      <c r="D63" s="244"/>
      <c r="E63" s="244"/>
      <c r="F63" s="244"/>
      <c r="G63" s="244"/>
      <c r="H63" s="244"/>
      <c r="J63" s="226" t="s">
        <v>235</v>
      </c>
      <c r="K63" s="245">
        <v>0.1</v>
      </c>
      <c r="L63" s="245">
        <v>0.2</v>
      </c>
      <c r="M63" s="245">
        <v>0.3</v>
      </c>
      <c r="N63" s="246">
        <v>0.4</v>
      </c>
    </row>
    <row r="64" spans="2:18" ht="18.75">
      <c r="B64" s="227" t="s">
        <v>236</v>
      </c>
      <c r="C64" s="238">
        <v>1</v>
      </c>
      <c r="D64" s="238">
        <v>0</v>
      </c>
      <c r="E64" s="238">
        <v>0</v>
      </c>
      <c r="F64" s="238">
        <v>0</v>
      </c>
      <c r="G64" s="238">
        <v>0</v>
      </c>
      <c r="H64" s="238">
        <v>0</v>
      </c>
      <c r="J64" s="146" t="s">
        <v>225</v>
      </c>
      <c r="K64" s="247">
        <v>1</v>
      </c>
      <c r="L64" s="247">
        <v>0</v>
      </c>
      <c r="M64" s="247">
        <v>0</v>
      </c>
      <c r="N64" s="248">
        <v>0</v>
      </c>
    </row>
    <row r="65" spans="2:14" ht="18.75">
      <c r="B65" s="227" t="s">
        <v>237</v>
      </c>
      <c r="C65" s="238">
        <v>0</v>
      </c>
      <c r="D65" s="238">
        <v>0</v>
      </c>
      <c r="E65" s="238">
        <v>0</v>
      </c>
      <c r="F65" s="238">
        <v>0</v>
      </c>
      <c r="G65" s="238">
        <v>0</v>
      </c>
      <c r="H65" s="238">
        <v>1</v>
      </c>
      <c r="J65" s="146" t="s">
        <v>229</v>
      </c>
      <c r="K65" s="247">
        <v>0</v>
      </c>
      <c r="L65" s="247">
        <v>0</v>
      </c>
      <c r="M65" s="247">
        <v>0.3</v>
      </c>
      <c r="N65" s="248">
        <v>0.4</v>
      </c>
    </row>
    <row r="66" spans="2:14" ht="18.75">
      <c r="B66" s="227" t="s">
        <v>238</v>
      </c>
      <c r="C66" s="238">
        <v>0</v>
      </c>
      <c r="D66" s="238">
        <v>0.7</v>
      </c>
      <c r="E66" s="238">
        <v>0</v>
      </c>
      <c r="F66" s="238">
        <v>0</v>
      </c>
      <c r="G66" s="238">
        <v>0.3</v>
      </c>
      <c r="H66" s="238">
        <v>0</v>
      </c>
      <c r="J66" s="146" t="s">
        <v>226</v>
      </c>
      <c r="K66" s="247">
        <v>0</v>
      </c>
      <c r="L66" s="247">
        <v>0</v>
      </c>
      <c r="M66" s="247">
        <v>0.7</v>
      </c>
      <c r="N66" s="248">
        <v>0.3</v>
      </c>
    </row>
    <row r="67" spans="2:14" ht="18.75">
      <c r="B67" s="237" t="s">
        <v>239</v>
      </c>
      <c r="C67" s="239">
        <v>0</v>
      </c>
      <c r="D67" s="239">
        <v>0.3</v>
      </c>
      <c r="E67" s="239">
        <v>0.1</v>
      </c>
      <c r="F67" s="239">
        <v>0.1</v>
      </c>
      <c r="G67" s="239">
        <v>0.4</v>
      </c>
      <c r="H67" s="239">
        <v>0.1</v>
      </c>
      <c r="J67" s="146" t="s">
        <v>227</v>
      </c>
      <c r="K67" s="247">
        <v>0</v>
      </c>
      <c r="L67" s="247">
        <v>0</v>
      </c>
      <c r="M67" s="247">
        <v>0</v>
      </c>
      <c r="N67" s="248">
        <v>0.1</v>
      </c>
    </row>
    <row r="68" spans="2:14" ht="18.75">
      <c r="J68" s="146" t="s">
        <v>228</v>
      </c>
      <c r="K68" s="247">
        <v>0</v>
      </c>
      <c r="L68" s="247">
        <v>0</v>
      </c>
      <c r="M68" s="247">
        <v>0</v>
      </c>
      <c r="N68" s="248">
        <v>0.1</v>
      </c>
    </row>
    <row r="69" spans="2:14" ht="18.75">
      <c r="J69" s="146" t="s">
        <v>230</v>
      </c>
      <c r="K69" s="247">
        <v>0</v>
      </c>
      <c r="L69" s="247">
        <v>1</v>
      </c>
      <c r="M69" s="247">
        <v>0</v>
      </c>
      <c r="N69" s="248">
        <v>0.1</v>
      </c>
    </row>
    <row r="73" spans="2:14">
      <c r="E73" s="242"/>
    </row>
  </sheetData>
  <mergeCells count="46">
    <mergeCell ref="B10:C10"/>
    <mergeCell ref="B19:C19"/>
    <mergeCell ref="B26:C26"/>
    <mergeCell ref="B23:C23"/>
    <mergeCell ref="B33:C33"/>
    <mergeCell ref="B35:C35"/>
    <mergeCell ref="B39:B42"/>
    <mergeCell ref="B27:C27"/>
    <mergeCell ref="B28:C28"/>
    <mergeCell ref="B29:C29"/>
    <mergeCell ref="B30:C30"/>
    <mergeCell ref="B31:C31"/>
    <mergeCell ref="B32:C32"/>
    <mergeCell ref="B2:Q2"/>
    <mergeCell ref="B4:C4"/>
    <mergeCell ref="B5:C5"/>
    <mergeCell ref="B6:C6"/>
    <mergeCell ref="B7:C7"/>
    <mergeCell ref="B9:C9"/>
    <mergeCell ref="C37:C38"/>
    <mergeCell ref="D37:D38"/>
    <mergeCell ref="E37:E38"/>
    <mergeCell ref="F37:F38"/>
    <mergeCell ref="B25:C25"/>
    <mergeCell ref="B11:C11"/>
    <mergeCell ref="B12:C12"/>
    <mergeCell ref="B13:C13"/>
    <mergeCell ref="B14:C14"/>
    <mergeCell ref="B15:C15"/>
    <mergeCell ref="B16:C16"/>
    <mergeCell ref="B18:C18"/>
    <mergeCell ref="B20:C20"/>
    <mergeCell ref="B21:C21"/>
    <mergeCell ref="B22:C22"/>
    <mergeCell ref="G37:G38"/>
    <mergeCell ref="H37:H38"/>
    <mergeCell ref="I37:I38"/>
    <mergeCell ref="J37:J38"/>
    <mergeCell ref="K37:K38"/>
    <mergeCell ref="Q37:Q38"/>
    <mergeCell ref="R37:R38"/>
    <mergeCell ref="L37:L38"/>
    <mergeCell ref="M37:M38"/>
    <mergeCell ref="N37:N38"/>
    <mergeCell ref="O37:O38"/>
    <mergeCell ref="P37:P38"/>
  </mergeCells>
  <phoneticPr fontId="1" type="noConversion"/>
  <pageMargins left="0.7" right="0.7" top="0.75" bottom="0.75" header="0.3" footer="0.3"/>
  <ignoredErrors>
    <ignoredError sqref="R43" formulaRange="1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B2:V132"/>
  <sheetViews>
    <sheetView topLeftCell="A73" workbookViewId="0">
      <selection activeCell="B88" sqref="B88:C88"/>
    </sheetView>
  </sheetViews>
  <sheetFormatPr defaultRowHeight="15.75"/>
  <cols>
    <col min="1" max="1" width="3.625" style="140" customWidth="1"/>
    <col min="2" max="2" width="28.625" style="140" bestFit="1" customWidth="1"/>
    <col min="3" max="3" width="28.625" style="140" customWidth="1"/>
    <col min="4" max="4" width="9.25" style="140" bestFit="1" customWidth="1"/>
    <col min="5" max="5" width="7.25" style="140" bestFit="1" customWidth="1"/>
    <col min="6" max="6" width="7.625" style="140" bestFit="1" customWidth="1"/>
    <col min="7" max="7" width="7.375" style="140" bestFit="1" customWidth="1"/>
    <col min="8" max="8" width="8" style="140" bestFit="1" customWidth="1"/>
    <col min="9" max="9" width="7" style="140" bestFit="1" customWidth="1"/>
    <col min="10" max="10" width="6.5" style="140" bestFit="1" customWidth="1"/>
    <col min="11" max="11" width="7.75" style="140" bestFit="1" customWidth="1"/>
    <col min="12" max="12" width="7.25" style="140" bestFit="1" customWidth="1"/>
    <col min="13" max="13" width="7.125" style="140" bestFit="1" customWidth="1"/>
    <col min="14" max="14" width="7.75" style="140" bestFit="1" customWidth="1"/>
    <col min="15" max="15" width="7.5" style="140" bestFit="1" customWidth="1"/>
    <col min="16" max="16" width="10.375" style="140" bestFit="1" customWidth="1"/>
    <col min="17" max="17" width="9.25" style="140" bestFit="1" customWidth="1"/>
    <col min="18" max="19" width="5.75" style="140" bestFit="1" customWidth="1"/>
    <col min="20" max="20" width="18.625" style="140" bestFit="1" customWidth="1"/>
    <col min="21" max="27" width="9" style="140"/>
    <col min="28" max="28" width="18.875" style="140" bestFit="1" customWidth="1"/>
    <col min="29" max="16384" width="9" style="140"/>
  </cols>
  <sheetData>
    <row r="2" spans="2:22" ht="30" customHeight="1">
      <c r="B2" s="280" t="s">
        <v>95</v>
      </c>
      <c r="C2" s="280"/>
      <c r="D2" s="280"/>
      <c r="E2" s="280"/>
      <c r="F2" s="280"/>
      <c r="G2" s="280"/>
      <c r="H2" s="280"/>
      <c r="I2" s="280"/>
      <c r="J2" s="280"/>
      <c r="K2" s="280"/>
      <c r="L2" s="280"/>
      <c r="M2" s="280"/>
      <c r="N2" s="280"/>
      <c r="O2" s="280"/>
      <c r="P2" s="280"/>
      <c r="Q2" s="280"/>
      <c r="T2" s="151"/>
      <c r="U2" s="151"/>
      <c r="V2" s="151"/>
    </row>
    <row r="3" spans="2:22" ht="16.5" thickBot="1"/>
    <row r="4" spans="2:22" ht="18.75">
      <c r="B4" s="281" t="s">
        <v>96</v>
      </c>
      <c r="C4" s="282"/>
      <c r="D4" s="142" t="s">
        <v>97</v>
      </c>
      <c r="E4" s="142" t="s">
        <v>98</v>
      </c>
      <c r="F4" s="142" t="s">
        <v>99</v>
      </c>
      <c r="G4" s="142" t="s">
        <v>100</v>
      </c>
      <c r="H4" s="142" t="s">
        <v>101</v>
      </c>
      <c r="I4" s="142" t="s">
        <v>102</v>
      </c>
      <c r="J4" s="142" t="s">
        <v>103</v>
      </c>
      <c r="K4" s="142" t="s">
        <v>104</v>
      </c>
      <c r="L4" s="142" t="s">
        <v>105</v>
      </c>
      <c r="M4" s="142" t="s">
        <v>106</v>
      </c>
      <c r="N4" s="142" t="s">
        <v>107</v>
      </c>
      <c r="O4" s="142" t="s">
        <v>108</v>
      </c>
      <c r="P4" s="143" t="s">
        <v>109</v>
      </c>
      <c r="Q4" s="144" t="s">
        <v>110</v>
      </c>
    </row>
    <row r="5" spans="2:22" ht="18.75">
      <c r="B5" s="319" t="s">
        <v>111</v>
      </c>
      <c r="C5" s="320"/>
      <c r="D5" s="314">
        <f>收入規劃!D5</f>
        <v>84505</v>
      </c>
      <c r="E5" s="314">
        <f>收入規劃!E5</f>
        <v>0</v>
      </c>
      <c r="F5" s="314">
        <f>收入規劃!F5</f>
        <v>0</v>
      </c>
      <c r="G5" s="314">
        <f>收入規劃!G5</f>
        <v>0</v>
      </c>
      <c r="H5" s="314">
        <f>收入規劃!H5</f>
        <v>0</v>
      </c>
      <c r="I5" s="314">
        <f>收入規劃!I5</f>
        <v>0</v>
      </c>
      <c r="J5" s="314">
        <f>收入規劃!J5</f>
        <v>0</v>
      </c>
      <c r="K5" s="314">
        <f>收入規劃!K5</f>
        <v>0</v>
      </c>
      <c r="L5" s="314">
        <f>收入規劃!L5</f>
        <v>0</v>
      </c>
      <c r="M5" s="314">
        <f>收入規劃!M5</f>
        <v>0</v>
      </c>
      <c r="N5" s="314">
        <f>收入規劃!N5</f>
        <v>0</v>
      </c>
      <c r="O5" s="314">
        <f>收入規劃!O5</f>
        <v>0</v>
      </c>
      <c r="P5" s="158">
        <f>SUM(D5:O5)</f>
        <v>84505</v>
      </c>
      <c r="Q5" s="145">
        <f>P5/COLUMNS(D5:O5)</f>
        <v>7042.083333333333</v>
      </c>
    </row>
    <row r="6" spans="2:22" ht="18.75">
      <c r="B6" s="321" t="s">
        <v>112</v>
      </c>
      <c r="C6" s="322"/>
      <c r="D6" s="314">
        <f>D10+D16+D23+D35+D69+D92+D101+D53+D77+D110+D118+D45+D62+D130</f>
        <v>0</v>
      </c>
      <c r="E6" s="314">
        <f>E10+E16+E23+E35+E69+E92+E101+E53+E77+E110+E118+E45+E62+E130</f>
        <v>0</v>
      </c>
      <c r="F6" s="314">
        <f>F10+F16+F23+F35+F69+F92+F101+F53+F77+F110+F118+F45+F62+F130</f>
        <v>0</v>
      </c>
      <c r="G6" s="314">
        <f>G10+G16+G23+G35+G69+G92+G101+G53+G77+G110+G118+G45+G62+G130</f>
        <v>0</v>
      </c>
      <c r="H6" s="314">
        <f>H10+H16+H23+H35+H69+H92+H101+H53+H77+H110+H118+H45+H62+H130</f>
        <v>0</v>
      </c>
      <c r="I6" s="314">
        <f>I10+I16+I23+I35+I69+I92+I101+I53+I77+I110+I118+I45+I62+I130</f>
        <v>0</v>
      </c>
      <c r="J6" s="314">
        <f>J10+J16+J23+J35+J69+J92+J101+J53+J77+J110+J118+J45+J62+J130</f>
        <v>0</v>
      </c>
      <c r="K6" s="314">
        <f>K10+K16+K23+K35+K69+K92+K101+K53+K77+K110+K118+K45+K62+K130</f>
        <v>0</v>
      </c>
      <c r="L6" s="314">
        <f>L10+L16+L23+L35+L69+L92+L101+L53+L77+L110+L118+L45+L62+L130</f>
        <v>0</v>
      </c>
      <c r="M6" s="314">
        <f>M10+M16+M23+M35+M69+M92+M101+M53+M77+M110+M118+M45+M62+M130</f>
        <v>0</v>
      </c>
      <c r="N6" s="314">
        <f>N10+N16+N23+N35+N69+N92+N101+N53+N77+N110+N118+N45+N62+N130</f>
        <v>0</v>
      </c>
      <c r="O6" s="314">
        <f>O10+O16+O23+O35+O69+O92+O101+O53+O77+O110+O118+O45+O62+O130</f>
        <v>0</v>
      </c>
      <c r="P6" s="158">
        <f>SUM(D6:O6)</f>
        <v>0</v>
      </c>
      <c r="Q6" s="145">
        <f>P6/COLUMNS(D6:O6)</f>
        <v>0</v>
      </c>
    </row>
    <row r="7" spans="2:22" ht="19.5" thickBot="1">
      <c r="B7" s="283" t="s">
        <v>113</v>
      </c>
      <c r="C7" s="284"/>
      <c r="D7" s="315">
        <f>D5-D6</f>
        <v>84505</v>
      </c>
      <c r="E7" s="315">
        <f t="shared" ref="E7:O7" si="0">E5-E6</f>
        <v>0</v>
      </c>
      <c r="F7" s="315">
        <f t="shared" si="0"/>
        <v>0</v>
      </c>
      <c r="G7" s="315">
        <f t="shared" si="0"/>
        <v>0</v>
      </c>
      <c r="H7" s="315">
        <f t="shared" si="0"/>
        <v>0</v>
      </c>
      <c r="I7" s="315">
        <f t="shared" si="0"/>
        <v>0</v>
      </c>
      <c r="J7" s="315">
        <f t="shared" si="0"/>
        <v>0</v>
      </c>
      <c r="K7" s="315">
        <f t="shared" si="0"/>
        <v>0</v>
      </c>
      <c r="L7" s="315">
        <f t="shared" si="0"/>
        <v>0</v>
      </c>
      <c r="M7" s="315">
        <f t="shared" si="0"/>
        <v>0</v>
      </c>
      <c r="N7" s="315">
        <f t="shared" si="0"/>
        <v>0</v>
      </c>
      <c r="O7" s="315">
        <f t="shared" si="0"/>
        <v>0</v>
      </c>
      <c r="P7" s="159">
        <f>SUM(D7:O7)</f>
        <v>84505</v>
      </c>
      <c r="Q7" s="160">
        <f>P7/COLUMNS(D7:O7)</f>
        <v>7042.083333333333</v>
      </c>
    </row>
    <row r="8" spans="2:22" ht="18.75">
      <c r="B8" s="151"/>
      <c r="C8" s="151"/>
      <c r="D8" s="156"/>
      <c r="E8" s="156"/>
      <c r="F8" s="156"/>
      <c r="G8" s="156"/>
      <c r="H8" s="156"/>
      <c r="I8" s="156"/>
      <c r="J8" s="156"/>
      <c r="K8" s="156"/>
      <c r="L8" s="156"/>
      <c r="M8" s="156"/>
      <c r="N8" s="156"/>
      <c r="O8" s="156"/>
      <c r="P8" s="156"/>
      <c r="Q8" s="156"/>
    </row>
    <row r="9" spans="2:22" ht="19.5" thickBot="1">
      <c r="B9" s="327" t="s">
        <v>150</v>
      </c>
      <c r="C9" s="327"/>
      <c r="D9" s="337" t="str">
        <f>D$4</f>
        <v>1</v>
      </c>
      <c r="E9" s="337" t="str">
        <f t="shared" ref="E9:O9" si="1">E$4</f>
        <v>2</v>
      </c>
      <c r="F9" s="337" t="str">
        <f t="shared" si="1"/>
        <v>3</v>
      </c>
      <c r="G9" s="337" t="str">
        <f t="shared" si="1"/>
        <v>4</v>
      </c>
      <c r="H9" s="337" t="str">
        <f t="shared" si="1"/>
        <v>5</v>
      </c>
      <c r="I9" s="337" t="str">
        <f t="shared" si="1"/>
        <v>6</v>
      </c>
      <c r="J9" s="337" t="str">
        <f t="shared" si="1"/>
        <v>7</v>
      </c>
      <c r="K9" s="337" t="str">
        <f t="shared" si="1"/>
        <v>8</v>
      </c>
      <c r="L9" s="337" t="str">
        <f t="shared" si="1"/>
        <v>9</v>
      </c>
      <c r="M9" s="337" t="str">
        <f t="shared" si="1"/>
        <v>10</v>
      </c>
      <c r="N9" s="337" t="str">
        <f t="shared" si="1"/>
        <v>11</v>
      </c>
      <c r="O9" s="337" t="str">
        <f t="shared" si="1"/>
        <v>12</v>
      </c>
      <c r="P9" s="337" t="s">
        <v>115</v>
      </c>
      <c r="Q9" s="337" t="s">
        <v>116</v>
      </c>
    </row>
    <row r="10" spans="2:22" ht="19.5" thickTop="1">
      <c r="B10" s="329" t="s">
        <v>123</v>
      </c>
      <c r="C10" s="329"/>
      <c r="D10" s="154">
        <f>SUM(D11:D12)</f>
        <v>0</v>
      </c>
      <c r="E10" s="154">
        <f>SUM(E11:E12)</f>
        <v>0</v>
      </c>
      <c r="F10" s="154">
        <f>SUM(F11:F12)</f>
        <v>0</v>
      </c>
      <c r="G10" s="154">
        <f>SUM(G11:G12)</f>
        <v>0</v>
      </c>
      <c r="H10" s="154">
        <f>SUM(H11:H12)</f>
        <v>0</v>
      </c>
      <c r="I10" s="154">
        <f>SUM(I11:I12)</f>
        <v>0</v>
      </c>
      <c r="J10" s="154">
        <f>SUM(J11:J12)</f>
        <v>0</v>
      </c>
      <c r="K10" s="154">
        <f>SUM(K11:K12)</f>
        <v>0</v>
      </c>
      <c r="L10" s="154">
        <f>SUM(L11:L12)</f>
        <v>0</v>
      </c>
      <c r="M10" s="154">
        <f>SUM(M11:M12)</f>
        <v>0</v>
      </c>
      <c r="N10" s="154">
        <f>SUM(N11:N12)</f>
        <v>0</v>
      </c>
      <c r="O10" s="154">
        <f>SUM(O11:O12)</f>
        <v>0</v>
      </c>
      <c r="P10" s="154">
        <f>SUM(P11:P12)</f>
        <v>0</v>
      </c>
      <c r="Q10" s="154">
        <f>SUM(Q11:Q12)</f>
        <v>0</v>
      </c>
    </row>
    <row r="11" spans="2:22" ht="18.75">
      <c r="B11" s="340" t="s">
        <v>151</v>
      </c>
      <c r="C11" s="341"/>
      <c r="D11" s="147"/>
      <c r="E11" s="147"/>
      <c r="F11" s="147"/>
      <c r="G11" s="147"/>
      <c r="H11" s="147"/>
      <c r="I11" s="147"/>
      <c r="J11" s="147"/>
      <c r="K11" s="147"/>
      <c r="L11" s="147"/>
      <c r="M11" s="147"/>
      <c r="N11" s="147"/>
      <c r="O11" s="147"/>
      <c r="P11" s="148">
        <f>SUM(D11:O11)</f>
        <v>0</v>
      </c>
      <c r="Q11" s="148">
        <f t="shared" ref="Q11" si="2">P11/COLUMNS(D11:O11)</f>
        <v>0</v>
      </c>
    </row>
    <row r="12" spans="2:22" ht="18.75">
      <c r="B12" s="342" t="s">
        <v>152</v>
      </c>
      <c r="C12" s="343"/>
      <c r="D12" s="147"/>
      <c r="E12" s="147"/>
      <c r="F12" s="147"/>
      <c r="G12" s="147"/>
      <c r="H12" s="147"/>
      <c r="I12" s="147"/>
      <c r="J12" s="147"/>
      <c r="K12" s="147"/>
      <c r="L12" s="147"/>
      <c r="M12" s="147"/>
      <c r="N12" s="147"/>
      <c r="O12" s="147"/>
      <c r="P12" s="148"/>
      <c r="Q12" s="148"/>
    </row>
    <row r="13" spans="2:22" ht="18.75">
      <c r="B13" s="344" t="s">
        <v>153</v>
      </c>
      <c r="C13" s="344"/>
      <c r="D13" s="345" t="str">
        <f>IF(D$6=0," - ",D10/D$6)</f>
        <v xml:space="preserve"> - </v>
      </c>
      <c r="E13" s="345" t="str">
        <f>IF(E$6=0," - ",E10/E$6)</f>
        <v xml:space="preserve"> - </v>
      </c>
      <c r="F13" s="345" t="str">
        <f>IF(F$6=0," - ",F10/F$6)</f>
        <v xml:space="preserve"> - </v>
      </c>
      <c r="G13" s="345" t="str">
        <f>IF(G$6=0," - ",G10/G$6)</f>
        <v xml:space="preserve"> - </v>
      </c>
      <c r="H13" s="345" t="str">
        <f>IF(H$6=0," - ",H10/H$6)</f>
        <v xml:space="preserve"> - </v>
      </c>
      <c r="I13" s="345" t="str">
        <f>IF(I$6=0," - ",I10/I$6)</f>
        <v xml:space="preserve"> - </v>
      </c>
      <c r="J13" s="345" t="str">
        <f>IF(J$6=0," - ",J10/J$6)</f>
        <v xml:space="preserve"> - </v>
      </c>
      <c r="K13" s="345" t="str">
        <f>IF(K$6=0," - ",K10/K$6)</f>
        <v xml:space="preserve"> - </v>
      </c>
      <c r="L13" s="345" t="str">
        <f>IF(L$6=0," - ",L10/L$6)</f>
        <v xml:space="preserve"> - </v>
      </c>
      <c r="M13" s="345" t="str">
        <f>IF(M$6=0," - ",M10/M$6)</f>
        <v xml:space="preserve"> - </v>
      </c>
      <c r="N13" s="345" t="str">
        <f>IF(N$6=0," - ",N10/N$6)</f>
        <v xml:space="preserve"> - </v>
      </c>
      <c r="O13" s="345" t="str">
        <f>IF(O$6=0," - ",O10/O$6)</f>
        <v xml:space="preserve"> - </v>
      </c>
      <c r="P13" s="345" t="str">
        <f>IF(P$6=0," - ",P10/P$6)</f>
        <v xml:space="preserve"> - </v>
      </c>
      <c r="Q13" s="345" t="str">
        <f>IF(Q$6=0," - ",Q10/Q$6)</f>
        <v xml:space="preserve"> - </v>
      </c>
    </row>
    <row r="14" spans="2:22" ht="18.75">
      <c r="B14" s="151"/>
      <c r="C14" s="151"/>
      <c r="D14" s="156"/>
      <c r="E14" s="156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</row>
    <row r="15" spans="2:22" ht="19.5" thickBot="1">
      <c r="B15" s="327" t="s">
        <v>154</v>
      </c>
      <c r="C15" s="327"/>
      <c r="D15" s="337" t="str">
        <f>D$4</f>
        <v>1</v>
      </c>
      <c r="E15" s="337" t="str">
        <f t="shared" ref="E15:O15" si="3">E$4</f>
        <v>2</v>
      </c>
      <c r="F15" s="337" t="str">
        <f t="shared" si="3"/>
        <v>3</v>
      </c>
      <c r="G15" s="337" t="str">
        <f t="shared" si="3"/>
        <v>4</v>
      </c>
      <c r="H15" s="337" t="str">
        <f t="shared" si="3"/>
        <v>5</v>
      </c>
      <c r="I15" s="337" t="str">
        <f t="shared" si="3"/>
        <v>6</v>
      </c>
      <c r="J15" s="337" t="str">
        <f t="shared" si="3"/>
        <v>7</v>
      </c>
      <c r="K15" s="337" t="str">
        <f t="shared" si="3"/>
        <v>8</v>
      </c>
      <c r="L15" s="337" t="str">
        <f t="shared" si="3"/>
        <v>9</v>
      </c>
      <c r="M15" s="337" t="str">
        <f t="shared" si="3"/>
        <v>10</v>
      </c>
      <c r="N15" s="337" t="str">
        <f t="shared" si="3"/>
        <v>11</v>
      </c>
      <c r="O15" s="337" t="str">
        <f t="shared" si="3"/>
        <v>12</v>
      </c>
      <c r="P15" s="337" t="s">
        <v>115</v>
      </c>
      <c r="Q15" s="337" t="s">
        <v>116</v>
      </c>
    </row>
    <row r="16" spans="2:22" ht="19.5" thickTop="1">
      <c r="B16" s="328" t="s">
        <v>123</v>
      </c>
      <c r="C16" s="328"/>
      <c r="D16" s="154">
        <f>SUM(D17:D19)</f>
        <v>0</v>
      </c>
      <c r="E16" s="154">
        <f>SUM(E17:E19)</f>
        <v>0</v>
      </c>
      <c r="F16" s="154">
        <f>SUM(F17:F19)</f>
        <v>0</v>
      </c>
      <c r="G16" s="154">
        <f>SUM(G17:G19)</f>
        <v>0</v>
      </c>
      <c r="H16" s="154">
        <f>SUM(H17:H19)</f>
        <v>0</v>
      </c>
      <c r="I16" s="154">
        <f>SUM(I17:I19)</f>
        <v>0</v>
      </c>
      <c r="J16" s="154">
        <f>SUM(J17:J19)</f>
        <v>0</v>
      </c>
      <c r="K16" s="154">
        <f>SUM(K17:K19)</f>
        <v>0</v>
      </c>
      <c r="L16" s="154">
        <f>SUM(L17:L19)</f>
        <v>0</v>
      </c>
      <c r="M16" s="154">
        <f>SUM(M17:M19)</f>
        <v>0</v>
      </c>
      <c r="N16" s="154">
        <f>SUM(N17:N19)</f>
        <v>0</v>
      </c>
      <c r="O16" s="154">
        <f>SUM(O17:O19)</f>
        <v>0</v>
      </c>
      <c r="P16" s="154">
        <f>SUM(P17:P19)</f>
        <v>0</v>
      </c>
      <c r="Q16" s="154">
        <f>SUM(Q17:Q19)</f>
        <v>0</v>
      </c>
    </row>
    <row r="17" spans="2:17" ht="18.75">
      <c r="B17" s="340" t="s">
        <v>155</v>
      </c>
      <c r="C17" s="341"/>
      <c r="D17" s="147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8">
        <f>SUM(D17:O17)</f>
        <v>0</v>
      </c>
      <c r="Q17" s="148">
        <f t="shared" ref="Q17:Q19" si="4">P17/COLUMNS(D17:O17)</f>
        <v>0</v>
      </c>
    </row>
    <row r="18" spans="2:17" ht="18.75">
      <c r="B18" s="340" t="s">
        <v>156</v>
      </c>
      <c r="C18" s="341"/>
      <c r="D18" s="147"/>
      <c r="E18" s="147"/>
      <c r="F18" s="147"/>
      <c r="G18" s="147"/>
      <c r="H18" s="147"/>
      <c r="I18" s="147"/>
      <c r="J18" s="147"/>
      <c r="K18" s="147"/>
      <c r="L18" s="147"/>
      <c r="M18" s="147"/>
      <c r="N18" s="147"/>
      <c r="O18" s="147"/>
      <c r="P18" s="148">
        <f t="shared" ref="P18:P19" si="5">SUM(D18:O18)</f>
        <v>0</v>
      </c>
      <c r="Q18" s="148">
        <f t="shared" si="4"/>
        <v>0</v>
      </c>
    </row>
    <row r="19" spans="2:17" ht="18.75">
      <c r="B19" s="342" t="s">
        <v>157</v>
      </c>
      <c r="C19" s="343"/>
      <c r="D19" s="147"/>
      <c r="E19" s="147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8">
        <f t="shared" si="5"/>
        <v>0</v>
      </c>
      <c r="Q19" s="148">
        <f t="shared" si="4"/>
        <v>0</v>
      </c>
    </row>
    <row r="20" spans="2:17" ht="18.75">
      <c r="B20" s="344" t="s">
        <v>153</v>
      </c>
      <c r="C20" s="344"/>
      <c r="D20" s="155" t="str">
        <f>IF(D$6=0," - ",D16/D$6)</f>
        <v xml:space="preserve"> - </v>
      </c>
      <c r="E20" s="155" t="str">
        <f>IF(E$6=0," - ",E16/E$6)</f>
        <v xml:space="preserve"> - </v>
      </c>
      <c r="F20" s="155" t="str">
        <f>IF(F$6=0," - ",F16/F$6)</f>
        <v xml:space="preserve"> - </v>
      </c>
      <c r="G20" s="155" t="str">
        <f>IF(G$6=0," - ",G16/G$6)</f>
        <v xml:space="preserve"> - </v>
      </c>
      <c r="H20" s="155" t="str">
        <f>IF(H$6=0," - ",H16/H$6)</f>
        <v xml:space="preserve"> - </v>
      </c>
      <c r="I20" s="155" t="str">
        <f>IF(I$6=0," - ",I16/I$6)</f>
        <v xml:space="preserve"> - </v>
      </c>
      <c r="J20" s="155" t="str">
        <f>IF(J$6=0," - ",J16/J$6)</f>
        <v xml:space="preserve"> - </v>
      </c>
      <c r="K20" s="155" t="str">
        <f>IF(K$6=0," - ",K16/K$6)</f>
        <v xml:space="preserve"> - </v>
      </c>
      <c r="L20" s="155" t="str">
        <f>IF(L$6=0," - ",L16/L$6)</f>
        <v xml:space="preserve"> - </v>
      </c>
      <c r="M20" s="155" t="str">
        <f>IF(M$6=0," - ",M16/M$6)</f>
        <v xml:space="preserve"> - </v>
      </c>
      <c r="N20" s="155" t="str">
        <f>IF(N$6=0," - ",N16/N$6)</f>
        <v xml:space="preserve"> - </v>
      </c>
      <c r="O20" s="155" t="str">
        <f>IF(O$6=0," - ",O16/O$6)</f>
        <v xml:space="preserve"> - </v>
      </c>
      <c r="P20" s="155" t="str">
        <f>IF(P$6=0," - ",P16/P$6)</f>
        <v xml:space="preserve"> - </v>
      </c>
      <c r="Q20" s="155" t="str">
        <f>IF(Q$6=0," - ",Q16/Q$6)</f>
        <v xml:space="preserve"> - </v>
      </c>
    </row>
    <row r="21" spans="2:17" ht="18.75">
      <c r="B21" s="151"/>
      <c r="C21" s="151"/>
      <c r="D21" s="156"/>
      <c r="E21" s="156"/>
      <c r="F21" s="156"/>
      <c r="G21" s="156"/>
      <c r="H21" s="156"/>
      <c r="I21" s="156"/>
      <c r="J21" s="156"/>
      <c r="K21" s="156"/>
      <c r="L21" s="156"/>
      <c r="M21" s="156"/>
      <c r="N21" s="156"/>
      <c r="O21" s="156"/>
      <c r="P21" s="156"/>
      <c r="Q21" s="156"/>
    </row>
    <row r="22" spans="2:17" ht="19.5" thickBot="1">
      <c r="B22" s="327" t="s">
        <v>158</v>
      </c>
      <c r="C22" s="327"/>
      <c r="D22" s="337" t="str">
        <f>D$4</f>
        <v>1</v>
      </c>
      <c r="E22" s="337" t="str">
        <f t="shared" ref="E22:O22" si="6">E$4</f>
        <v>2</v>
      </c>
      <c r="F22" s="337" t="str">
        <f t="shared" si="6"/>
        <v>3</v>
      </c>
      <c r="G22" s="337" t="str">
        <f t="shared" si="6"/>
        <v>4</v>
      </c>
      <c r="H22" s="337" t="str">
        <f t="shared" si="6"/>
        <v>5</v>
      </c>
      <c r="I22" s="337" t="str">
        <f t="shared" si="6"/>
        <v>6</v>
      </c>
      <c r="J22" s="337" t="str">
        <f t="shared" si="6"/>
        <v>7</v>
      </c>
      <c r="K22" s="337" t="str">
        <f t="shared" si="6"/>
        <v>8</v>
      </c>
      <c r="L22" s="337" t="str">
        <f t="shared" si="6"/>
        <v>9</v>
      </c>
      <c r="M22" s="337" t="str">
        <f t="shared" si="6"/>
        <v>10</v>
      </c>
      <c r="N22" s="337" t="str">
        <f t="shared" si="6"/>
        <v>11</v>
      </c>
      <c r="O22" s="337" t="str">
        <f t="shared" si="6"/>
        <v>12</v>
      </c>
      <c r="P22" s="337" t="s">
        <v>115</v>
      </c>
      <c r="Q22" s="337" t="s">
        <v>116</v>
      </c>
    </row>
    <row r="23" spans="2:17" ht="19.5" thickTop="1">
      <c r="B23" s="328" t="s">
        <v>123</v>
      </c>
      <c r="C23" s="328"/>
      <c r="D23" s="154">
        <f>SUM(D24:D31)</f>
        <v>0</v>
      </c>
      <c r="E23" s="154">
        <f>SUM(E24:E31)</f>
        <v>0</v>
      </c>
      <c r="F23" s="154">
        <f>SUM(F24:F31)</f>
        <v>0</v>
      </c>
      <c r="G23" s="154">
        <f>SUM(G24:G31)</f>
        <v>0</v>
      </c>
      <c r="H23" s="154">
        <f>SUM(H24:H31)</f>
        <v>0</v>
      </c>
      <c r="I23" s="154">
        <f>SUM(I24:I31)</f>
        <v>0</v>
      </c>
      <c r="J23" s="154">
        <f>SUM(J24:J31)</f>
        <v>0</v>
      </c>
      <c r="K23" s="154">
        <f>SUM(K24:K31)</f>
        <v>0</v>
      </c>
      <c r="L23" s="154">
        <f>SUM(L24:L31)</f>
        <v>0</v>
      </c>
      <c r="M23" s="154">
        <f>SUM(M24:M31)</f>
        <v>0</v>
      </c>
      <c r="N23" s="154">
        <f>SUM(N24:N31)</f>
        <v>0</v>
      </c>
      <c r="O23" s="154">
        <f>SUM(O24:O31)</f>
        <v>0</v>
      </c>
      <c r="P23" s="154">
        <f>SUM(P24:P31)</f>
        <v>0</v>
      </c>
      <c r="Q23" s="154">
        <f>SUM(Q24:Q31)</f>
        <v>0</v>
      </c>
    </row>
    <row r="24" spans="2:17" ht="18.75">
      <c r="B24" s="340" t="s">
        <v>159</v>
      </c>
      <c r="C24" s="341"/>
      <c r="D24" s="147"/>
      <c r="E24" s="147"/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48">
        <f>SUM(D24:O24)</f>
        <v>0</v>
      </c>
      <c r="Q24" s="148">
        <f t="shared" ref="Q24:Q31" si="7">P24/COLUMNS(D24:O24)</f>
        <v>0</v>
      </c>
    </row>
    <row r="25" spans="2:17" ht="18.75">
      <c r="B25" s="340" t="s">
        <v>160</v>
      </c>
      <c r="C25" s="341"/>
      <c r="D25" s="147"/>
      <c r="E25" s="147"/>
      <c r="F25" s="147"/>
      <c r="G25" s="147"/>
      <c r="H25" s="147"/>
      <c r="I25" s="147"/>
      <c r="J25" s="147"/>
      <c r="K25" s="147"/>
      <c r="L25" s="147"/>
      <c r="M25" s="147"/>
      <c r="N25" s="147"/>
      <c r="O25" s="147"/>
      <c r="P25" s="148">
        <f t="shared" ref="P25:P31" si="8">SUM(D25:O25)</f>
        <v>0</v>
      </c>
      <c r="Q25" s="148">
        <f t="shared" si="7"/>
        <v>0</v>
      </c>
    </row>
    <row r="26" spans="2:17" ht="18.75">
      <c r="B26" s="340" t="s">
        <v>161</v>
      </c>
      <c r="C26" s="341"/>
      <c r="D26" s="147"/>
      <c r="E26" s="147"/>
      <c r="F26" s="147"/>
      <c r="G26" s="147"/>
      <c r="H26" s="147"/>
      <c r="I26" s="147"/>
      <c r="J26" s="147"/>
      <c r="K26" s="147"/>
      <c r="L26" s="147"/>
      <c r="M26" s="147"/>
      <c r="N26" s="147"/>
      <c r="O26" s="147"/>
      <c r="P26" s="148">
        <f t="shared" si="8"/>
        <v>0</v>
      </c>
      <c r="Q26" s="148">
        <f t="shared" si="7"/>
        <v>0</v>
      </c>
    </row>
    <row r="27" spans="2:17" ht="18.75">
      <c r="B27" s="340" t="s">
        <v>162</v>
      </c>
      <c r="C27" s="341"/>
      <c r="D27" s="147"/>
      <c r="E27" s="147"/>
      <c r="F27" s="147"/>
      <c r="G27" s="147"/>
      <c r="H27" s="147"/>
      <c r="I27" s="147"/>
      <c r="J27" s="147"/>
      <c r="K27" s="147"/>
      <c r="L27" s="147"/>
      <c r="M27" s="147"/>
      <c r="N27" s="147"/>
      <c r="O27" s="147"/>
      <c r="P27" s="148">
        <f t="shared" si="8"/>
        <v>0</v>
      </c>
      <c r="Q27" s="148">
        <f t="shared" si="7"/>
        <v>0</v>
      </c>
    </row>
    <row r="28" spans="2:17" ht="18.75">
      <c r="B28" s="340" t="s">
        <v>163</v>
      </c>
      <c r="C28" s="341"/>
      <c r="D28" s="147"/>
      <c r="E28" s="147"/>
      <c r="F28" s="147"/>
      <c r="G28" s="147"/>
      <c r="H28" s="147"/>
      <c r="I28" s="147"/>
      <c r="J28" s="147"/>
      <c r="K28" s="147"/>
      <c r="L28" s="147"/>
      <c r="M28" s="147"/>
      <c r="N28" s="147"/>
      <c r="O28" s="147"/>
      <c r="P28" s="148">
        <f t="shared" si="8"/>
        <v>0</v>
      </c>
      <c r="Q28" s="148">
        <f t="shared" si="7"/>
        <v>0</v>
      </c>
    </row>
    <row r="29" spans="2:17" ht="18.75">
      <c r="B29" s="340" t="s">
        <v>164</v>
      </c>
      <c r="C29" s="341"/>
      <c r="D29" s="147"/>
      <c r="E29" s="147"/>
      <c r="F29" s="147"/>
      <c r="G29" s="147"/>
      <c r="H29" s="147"/>
      <c r="I29" s="147"/>
      <c r="J29" s="147"/>
      <c r="K29" s="147"/>
      <c r="L29" s="147"/>
      <c r="M29" s="147"/>
      <c r="N29" s="147"/>
      <c r="O29" s="147"/>
      <c r="P29" s="148">
        <f t="shared" si="8"/>
        <v>0</v>
      </c>
      <c r="Q29" s="148">
        <f t="shared" si="7"/>
        <v>0</v>
      </c>
    </row>
    <row r="30" spans="2:17" ht="18.75">
      <c r="B30" s="340" t="s">
        <v>165</v>
      </c>
      <c r="C30" s="341"/>
      <c r="D30" s="147"/>
      <c r="E30" s="147"/>
      <c r="F30" s="147"/>
      <c r="G30" s="147"/>
      <c r="H30" s="147"/>
      <c r="I30" s="147"/>
      <c r="J30" s="147"/>
      <c r="K30" s="147"/>
      <c r="L30" s="147"/>
      <c r="M30" s="147"/>
      <c r="N30" s="147"/>
      <c r="O30" s="147"/>
      <c r="P30" s="148">
        <f t="shared" si="8"/>
        <v>0</v>
      </c>
      <c r="Q30" s="148">
        <f t="shared" si="7"/>
        <v>0</v>
      </c>
    </row>
    <row r="31" spans="2:17" ht="18.75">
      <c r="B31" s="342" t="s">
        <v>122</v>
      </c>
      <c r="C31" s="343"/>
      <c r="D31" s="147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48">
        <f t="shared" si="8"/>
        <v>0</v>
      </c>
      <c r="Q31" s="148">
        <f t="shared" si="7"/>
        <v>0</v>
      </c>
    </row>
    <row r="32" spans="2:17" ht="18.75">
      <c r="B32" s="330" t="s">
        <v>153</v>
      </c>
      <c r="C32" s="330"/>
      <c r="D32" s="155" t="str">
        <f>IF(D$6=0," - ",D23/D$6)</f>
        <v xml:space="preserve"> - </v>
      </c>
      <c r="E32" s="155" t="str">
        <f>IF(E$6=0," - ",E23/E$6)</f>
        <v xml:space="preserve"> - </v>
      </c>
      <c r="F32" s="155" t="str">
        <f>IF(F$6=0," - ",F23/F$6)</f>
        <v xml:space="preserve"> - </v>
      </c>
      <c r="G32" s="155" t="str">
        <f>IF(G$6=0," - ",G23/G$6)</f>
        <v xml:space="preserve"> - </v>
      </c>
      <c r="H32" s="155" t="str">
        <f>IF(H$6=0," - ",H23/H$6)</f>
        <v xml:space="preserve"> - </v>
      </c>
      <c r="I32" s="155" t="str">
        <f>IF(I$6=0," - ",I23/I$6)</f>
        <v xml:space="preserve"> - </v>
      </c>
      <c r="J32" s="155" t="str">
        <f>IF(J$6=0," - ",J23/J$6)</f>
        <v xml:space="preserve"> - </v>
      </c>
      <c r="K32" s="155" t="str">
        <f>IF(K$6=0," - ",K23/K$6)</f>
        <v xml:space="preserve"> - </v>
      </c>
      <c r="L32" s="155" t="str">
        <f>IF(L$6=0," - ",L23/L$6)</f>
        <v xml:space="preserve"> - </v>
      </c>
      <c r="M32" s="155" t="str">
        <f>IF(M$6=0," - ",M23/M$6)</f>
        <v xml:space="preserve"> - </v>
      </c>
      <c r="N32" s="155" t="str">
        <f>IF(N$6=0," - ",N23/N$6)</f>
        <v xml:space="preserve"> - </v>
      </c>
      <c r="O32" s="155" t="str">
        <f>IF(O$6=0," - ",O23/O$6)</f>
        <v xml:space="preserve"> - </v>
      </c>
      <c r="P32" s="155" t="str">
        <f>IF(P$6=0," - ",P23/P$6)</f>
        <v xml:space="preserve"> - </v>
      </c>
      <c r="Q32" s="155" t="str">
        <f>IF(Q$6=0," - ",Q23/Q$6)</f>
        <v xml:space="preserve"> - </v>
      </c>
    </row>
    <row r="33" spans="2:17" ht="18.75">
      <c r="B33" s="151"/>
      <c r="C33" s="151"/>
      <c r="D33" s="156"/>
      <c r="E33" s="156"/>
      <c r="F33" s="156"/>
      <c r="G33" s="156"/>
      <c r="H33" s="156"/>
      <c r="I33" s="156"/>
      <c r="J33" s="156"/>
      <c r="K33" s="156"/>
      <c r="L33" s="156"/>
      <c r="M33" s="156"/>
      <c r="N33" s="156"/>
      <c r="O33" s="156"/>
      <c r="P33" s="156"/>
      <c r="Q33" s="156"/>
    </row>
    <row r="34" spans="2:17" ht="19.5" thickBot="1">
      <c r="B34" s="326" t="s">
        <v>166</v>
      </c>
      <c r="C34" s="326"/>
      <c r="D34" s="337" t="str">
        <f>D$4</f>
        <v>1</v>
      </c>
      <c r="E34" s="337" t="str">
        <f t="shared" ref="E34:O34" si="9">E$4</f>
        <v>2</v>
      </c>
      <c r="F34" s="337" t="str">
        <f t="shared" si="9"/>
        <v>3</v>
      </c>
      <c r="G34" s="337" t="str">
        <f t="shared" si="9"/>
        <v>4</v>
      </c>
      <c r="H34" s="337" t="str">
        <f t="shared" si="9"/>
        <v>5</v>
      </c>
      <c r="I34" s="337" t="str">
        <f t="shared" si="9"/>
        <v>6</v>
      </c>
      <c r="J34" s="337" t="str">
        <f t="shared" si="9"/>
        <v>7</v>
      </c>
      <c r="K34" s="337" t="str">
        <f t="shared" si="9"/>
        <v>8</v>
      </c>
      <c r="L34" s="337" t="str">
        <f t="shared" si="9"/>
        <v>9</v>
      </c>
      <c r="M34" s="337" t="str">
        <f t="shared" si="9"/>
        <v>10</v>
      </c>
      <c r="N34" s="337" t="str">
        <f t="shared" si="9"/>
        <v>11</v>
      </c>
      <c r="O34" s="337" t="str">
        <f t="shared" si="9"/>
        <v>12</v>
      </c>
      <c r="P34" s="337" t="s">
        <v>115</v>
      </c>
      <c r="Q34" s="337" t="s">
        <v>116</v>
      </c>
    </row>
    <row r="35" spans="2:17" ht="19.5" thickTop="1">
      <c r="B35" s="328" t="s">
        <v>123</v>
      </c>
      <c r="C35" s="328"/>
      <c r="D35" s="154">
        <f>SUM(D36:D41)</f>
        <v>0</v>
      </c>
      <c r="E35" s="154">
        <f>SUM(E36:E41)</f>
        <v>0</v>
      </c>
      <c r="F35" s="154">
        <f>SUM(F36:F41)</f>
        <v>0</v>
      </c>
      <c r="G35" s="154">
        <f>SUM(G36:G41)</f>
        <v>0</v>
      </c>
      <c r="H35" s="154">
        <f>SUM(H36:H41)</f>
        <v>0</v>
      </c>
      <c r="I35" s="154">
        <f>SUM(I36:I41)</f>
        <v>0</v>
      </c>
      <c r="J35" s="154">
        <f>SUM(J36:J41)</f>
        <v>0</v>
      </c>
      <c r="K35" s="154">
        <f>SUM(K36:K41)</f>
        <v>0</v>
      </c>
      <c r="L35" s="154">
        <f>SUM(L36:L41)</f>
        <v>0</v>
      </c>
      <c r="M35" s="154">
        <f>SUM(M36:M41)</f>
        <v>0</v>
      </c>
      <c r="N35" s="154">
        <f>SUM(N36:N41)</f>
        <v>0</v>
      </c>
      <c r="O35" s="154">
        <f>SUM(O36:O41)</f>
        <v>0</v>
      </c>
      <c r="P35" s="154">
        <f>SUM(P36:P41)</f>
        <v>0</v>
      </c>
      <c r="Q35" s="154">
        <f>SUM(Q36:Q41)</f>
        <v>0</v>
      </c>
    </row>
    <row r="36" spans="2:17" ht="18.75">
      <c r="B36" s="340" t="s">
        <v>167</v>
      </c>
      <c r="C36" s="341"/>
      <c r="D36" s="147"/>
      <c r="E36" s="147"/>
      <c r="F36" s="147"/>
      <c r="G36" s="147"/>
      <c r="H36" s="147"/>
      <c r="I36" s="147"/>
      <c r="J36" s="147"/>
      <c r="K36" s="147"/>
      <c r="L36" s="147"/>
      <c r="M36" s="147"/>
      <c r="N36" s="147"/>
      <c r="O36" s="147"/>
      <c r="P36" s="148">
        <f>SUM(D36:O36)</f>
        <v>0</v>
      </c>
      <c r="Q36" s="148">
        <f t="shared" ref="Q36:Q41" si="10">P36/COLUMNS(D36:O36)</f>
        <v>0</v>
      </c>
    </row>
    <row r="37" spans="2:17" ht="18.75">
      <c r="B37" s="340" t="s">
        <v>168</v>
      </c>
      <c r="C37" s="341"/>
      <c r="D37" s="147"/>
      <c r="E37" s="147"/>
      <c r="F37" s="147"/>
      <c r="G37" s="147"/>
      <c r="H37" s="147"/>
      <c r="I37" s="147"/>
      <c r="J37" s="147"/>
      <c r="K37" s="147"/>
      <c r="L37" s="147"/>
      <c r="M37" s="147"/>
      <c r="N37" s="147"/>
      <c r="O37" s="147"/>
      <c r="P37" s="148">
        <f t="shared" ref="P37:P41" si="11">SUM(D37:O37)</f>
        <v>0</v>
      </c>
      <c r="Q37" s="148">
        <f t="shared" si="10"/>
        <v>0</v>
      </c>
    </row>
    <row r="38" spans="2:17" ht="18.75">
      <c r="B38" s="340" t="s">
        <v>169</v>
      </c>
      <c r="C38" s="341"/>
      <c r="D38" s="147"/>
      <c r="E38" s="147"/>
      <c r="F38" s="147"/>
      <c r="G38" s="147"/>
      <c r="H38" s="147"/>
      <c r="I38" s="147"/>
      <c r="J38" s="147"/>
      <c r="K38" s="147"/>
      <c r="L38" s="147"/>
      <c r="M38" s="147"/>
      <c r="N38" s="147"/>
      <c r="O38" s="147"/>
      <c r="P38" s="148">
        <f t="shared" si="11"/>
        <v>0</v>
      </c>
      <c r="Q38" s="148">
        <f t="shared" si="10"/>
        <v>0</v>
      </c>
    </row>
    <row r="39" spans="2:17" ht="18.75">
      <c r="B39" s="340" t="s">
        <v>170</v>
      </c>
      <c r="C39" s="341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8">
        <f t="shared" si="11"/>
        <v>0</v>
      </c>
      <c r="Q39" s="148">
        <f t="shared" si="10"/>
        <v>0</v>
      </c>
    </row>
    <row r="40" spans="2:17" ht="18.75">
      <c r="B40" s="340" t="s">
        <v>171</v>
      </c>
      <c r="C40" s="341"/>
      <c r="D40" s="147"/>
      <c r="E40" s="147"/>
      <c r="F40" s="147"/>
      <c r="G40" s="147"/>
      <c r="H40" s="147"/>
      <c r="I40" s="147"/>
      <c r="J40" s="147"/>
      <c r="K40" s="147"/>
      <c r="L40" s="147"/>
      <c r="M40" s="147"/>
      <c r="N40" s="147"/>
      <c r="O40" s="147"/>
      <c r="P40" s="148">
        <f t="shared" si="11"/>
        <v>0</v>
      </c>
      <c r="Q40" s="148">
        <f t="shared" si="10"/>
        <v>0</v>
      </c>
    </row>
    <row r="41" spans="2:17" ht="18.75">
      <c r="B41" s="342" t="s">
        <v>122</v>
      </c>
      <c r="C41" s="343"/>
      <c r="D41" s="147"/>
      <c r="E41" s="147"/>
      <c r="F41" s="147"/>
      <c r="G41" s="147"/>
      <c r="H41" s="147"/>
      <c r="I41" s="147"/>
      <c r="J41" s="147"/>
      <c r="K41" s="147"/>
      <c r="L41" s="147"/>
      <c r="M41" s="147"/>
      <c r="N41" s="147"/>
      <c r="O41" s="147"/>
      <c r="P41" s="148">
        <f t="shared" si="11"/>
        <v>0</v>
      </c>
      <c r="Q41" s="148">
        <f t="shared" si="10"/>
        <v>0</v>
      </c>
    </row>
    <row r="42" spans="2:17" ht="18.75">
      <c r="B42" s="330" t="s">
        <v>153</v>
      </c>
      <c r="C42" s="330"/>
      <c r="D42" s="155" t="str">
        <f>IF(D$6=0," - ",D35/D$6)</f>
        <v xml:space="preserve"> - </v>
      </c>
      <c r="E42" s="155" t="str">
        <f>IF(E$6=0," - ",E35/E$6)</f>
        <v xml:space="preserve"> - </v>
      </c>
      <c r="F42" s="155" t="str">
        <f>IF(F$6=0," - ",F35/F$6)</f>
        <v xml:space="preserve"> - </v>
      </c>
      <c r="G42" s="155" t="str">
        <f>IF(G$6=0," - ",G35/G$6)</f>
        <v xml:space="preserve"> - </v>
      </c>
      <c r="H42" s="155" t="str">
        <f>IF(H$6=0," - ",H35/H$6)</f>
        <v xml:space="preserve"> - </v>
      </c>
      <c r="I42" s="155" t="str">
        <f>IF(I$6=0," - ",I35/I$6)</f>
        <v xml:space="preserve"> - </v>
      </c>
      <c r="J42" s="155" t="str">
        <f>IF(J$6=0," - ",J35/J$6)</f>
        <v xml:space="preserve"> - </v>
      </c>
      <c r="K42" s="155" t="str">
        <f>IF(K$6=0," - ",K35/K$6)</f>
        <v xml:space="preserve"> - </v>
      </c>
      <c r="L42" s="155" t="str">
        <f>IF(L$6=0," - ",L35/L$6)</f>
        <v xml:space="preserve"> - </v>
      </c>
      <c r="M42" s="155" t="str">
        <f>IF(M$6=0," - ",M35/M$6)</f>
        <v xml:space="preserve"> - </v>
      </c>
      <c r="N42" s="155" t="str">
        <f>IF(N$6=0," - ",N35/N$6)</f>
        <v xml:space="preserve"> - </v>
      </c>
      <c r="O42" s="155" t="str">
        <f>IF(O$6=0," - ",O35/O$6)</f>
        <v xml:space="preserve"> - </v>
      </c>
      <c r="P42" s="155" t="str">
        <f>IF(P$6=0," - ",P35/P$6)</f>
        <v xml:space="preserve"> - </v>
      </c>
      <c r="Q42" s="155" t="str">
        <f>IF(Q$6=0," - ",Q35/Q$6)</f>
        <v xml:space="preserve"> - </v>
      </c>
    </row>
    <row r="43" spans="2:17" ht="18.75">
      <c r="B43" s="151"/>
      <c r="C43" s="151"/>
      <c r="D43" s="156"/>
      <c r="E43" s="156"/>
      <c r="F43" s="156"/>
      <c r="G43" s="156"/>
      <c r="H43" s="156"/>
      <c r="I43" s="156"/>
      <c r="J43" s="156"/>
      <c r="K43" s="156"/>
      <c r="L43" s="156"/>
      <c r="M43" s="156"/>
      <c r="N43" s="156"/>
      <c r="O43" s="156"/>
      <c r="P43" s="156"/>
      <c r="Q43" s="156"/>
    </row>
    <row r="44" spans="2:17" ht="19.5" thickBot="1">
      <c r="B44" s="327" t="s">
        <v>500</v>
      </c>
      <c r="C44" s="327"/>
      <c r="D44" s="337" t="str">
        <f>D$4</f>
        <v>1</v>
      </c>
      <c r="E44" s="337" t="str">
        <f t="shared" ref="E44:O44" si="12">E$4</f>
        <v>2</v>
      </c>
      <c r="F44" s="337" t="str">
        <f t="shared" si="12"/>
        <v>3</v>
      </c>
      <c r="G44" s="337" t="str">
        <f t="shared" si="12"/>
        <v>4</v>
      </c>
      <c r="H44" s="337" t="str">
        <f t="shared" si="12"/>
        <v>5</v>
      </c>
      <c r="I44" s="337" t="str">
        <f t="shared" si="12"/>
        <v>6</v>
      </c>
      <c r="J44" s="337" t="str">
        <f t="shared" si="12"/>
        <v>7</v>
      </c>
      <c r="K44" s="337" t="str">
        <f t="shared" si="12"/>
        <v>8</v>
      </c>
      <c r="L44" s="337" t="str">
        <f t="shared" si="12"/>
        <v>9</v>
      </c>
      <c r="M44" s="337" t="str">
        <f t="shared" si="12"/>
        <v>10</v>
      </c>
      <c r="N44" s="337" t="str">
        <f t="shared" si="12"/>
        <v>11</v>
      </c>
      <c r="O44" s="337" t="str">
        <f t="shared" si="12"/>
        <v>12</v>
      </c>
      <c r="P44" s="337" t="s">
        <v>115</v>
      </c>
      <c r="Q44" s="337" t="s">
        <v>116</v>
      </c>
    </row>
    <row r="45" spans="2:17" ht="19.5" thickTop="1">
      <c r="B45" s="328" t="s">
        <v>123</v>
      </c>
      <c r="C45" s="328"/>
      <c r="D45" s="154">
        <f>SUM(D46:D49)</f>
        <v>0</v>
      </c>
      <c r="E45" s="154">
        <f>SUM(E46:E49)</f>
        <v>0</v>
      </c>
      <c r="F45" s="154">
        <f>SUM(F46:F49)</f>
        <v>0</v>
      </c>
      <c r="G45" s="154">
        <f>SUM(G46:G49)</f>
        <v>0</v>
      </c>
      <c r="H45" s="154">
        <f>SUM(H46:H49)</f>
        <v>0</v>
      </c>
      <c r="I45" s="154">
        <f>SUM(I46:I49)</f>
        <v>0</v>
      </c>
      <c r="J45" s="154">
        <f>SUM(J46:J49)</f>
        <v>0</v>
      </c>
      <c r="K45" s="154">
        <f>SUM(K46:K49)</f>
        <v>0</v>
      </c>
      <c r="L45" s="154">
        <f>SUM(L46:L49)</f>
        <v>0</v>
      </c>
      <c r="M45" s="154">
        <f>SUM(M46:M49)</f>
        <v>0</v>
      </c>
      <c r="N45" s="154">
        <f>SUM(N46:N49)</f>
        <v>0</v>
      </c>
      <c r="O45" s="154">
        <f>SUM(O46:O49)</f>
        <v>0</v>
      </c>
      <c r="P45" s="154">
        <f>SUM(P46:P49)</f>
        <v>0</v>
      </c>
      <c r="Q45" s="154">
        <f>SUM(Q46:Q49)</f>
        <v>0</v>
      </c>
    </row>
    <row r="46" spans="2:17" ht="18.75">
      <c r="B46" s="340" t="s">
        <v>210</v>
      </c>
      <c r="C46" s="341"/>
      <c r="D46" s="147"/>
      <c r="E46" s="147"/>
      <c r="F46" s="147"/>
      <c r="G46" s="147"/>
      <c r="H46" s="147"/>
      <c r="I46" s="147"/>
      <c r="J46" s="147"/>
      <c r="K46" s="147"/>
      <c r="L46" s="147"/>
      <c r="M46" s="147"/>
      <c r="N46" s="147"/>
      <c r="O46" s="147"/>
      <c r="P46" s="148">
        <f t="shared" ref="P46" si="13">SUM(D46:O46)</f>
        <v>0</v>
      </c>
      <c r="Q46" s="148">
        <f t="shared" ref="Q46:Q49" si="14">P46/COLUMNS(D46:O46)</f>
        <v>0</v>
      </c>
    </row>
    <row r="47" spans="2:17" ht="18.75">
      <c r="B47" s="340" t="s">
        <v>211</v>
      </c>
      <c r="C47" s="341"/>
      <c r="D47" s="147"/>
      <c r="E47" s="147"/>
      <c r="F47" s="147"/>
      <c r="G47" s="147"/>
      <c r="H47" s="147"/>
      <c r="I47" s="147"/>
      <c r="J47" s="147"/>
      <c r="K47" s="147"/>
      <c r="L47" s="147"/>
      <c r="M47" s="147"/>
      <c r="N47" s="147"/>
      <c r="O47" s="147"/>
      <c r="P47" s="148">
        <f t="shared" ref="P47:P49" si="15">SUM(D47:O47)</f>
        <v>0</v>
      </c>
      <c r="Q47" s="148">
        <f t="shared" si="14"/>
        <v>0</v>
      </c>
    </row>
    <row r="48" spans="2:17" ht="18.75">
      <c r="B48" s="340" t="s">
        <v>212</v>
      </c>
      <c r="C48" s="341"/>
      <c r="D48" s="147"/>
      <c r="E48" s="147"/>
      <c r="F48" s="147"/>
      <c r="G48" s="147"/>
      <c r="H48" s="147"/>
      <c r="I48" s="147"/>
      <c r="J48" s="147"/>
      <c r="K48" s="147"/>
      <c r="L48" s="147"/>
      <c r="M48" s="147"/>
      <c r="N48" s="147"/>
      <c r="O48" s="147"/>
      <c r="P48" s="148">
        <f t="shared" si="15"/>
        <v>0</v>
      </c>
      <c r="Q48" s="148">
        <f t="shared" si="14"/>
        <v>0</v>
      </c>
    </row>
    <row r="49" spans="2:17" ht="18.75">
      <c r="B49" s="342" t="s">
        <v>213</v>
      </c>
      <c r="C49" s="343"/>
      <c r="D49" s="147"/>
      <c r="E49" s="147"/>
      <c r="F49" s="147"/>
      <c r="G49" s="147"/>
      <c r="H49" s="147"/>
      <c r="I49" s="147"/>
      <c r="J49" s="147"/>
      <c r="K49" s="147"/>
      <c r="L49" s="147"/>
      <c r="M49" s="147"/>
      <c r="N49" s="147"/>
      <c r="O49" s="147"/>
      <c r="P49" s="148">
        <f t="shared" si="15"/>
        <v>0</v>
      </c>
      <c r="Q49" s="148">
        <f t="shared" si="14"/>
        <v>0</v>
      </c>
    </row>
    <row r="50" spans="2:17" ht="18.75">
      <c r="B50" s="330" t="s">
        <v>153</v>
      </c>
      <c r="C50" s="330"/>
      <c r="D50" s="155" t="str">
        <f>IF(D$6=0," - ",D45/D$6)</f>
        <v xml:space="preserve"> - </v>
      </c>
      <c r="E50" s="155" t="str">
        <f>IF(E$6=0," - ",E45/E$6)</f>
        <v xml:space="preserve"> - </v>
      </c>
      <c r="F50" s="155" t="str">
        <f>IF(F$6=0," - ",F45/F$6)</f>
        <v xml:space="preserve"> - </v>
      </c>
      <c r="G50" s="155" t="str">
        <f>IF(G$6=0," - ",G45/G$6)</f>
        <v xml:space="preserve"> - </v>
      </c>
      <c r="H50" s="155" t="str">
        <f>IF(H$6=0," - ",H45/H$6)</f>
        <v xml:space="preserve"> - </v>
      </c>
      <c r="I50" s="155" t="str">
        <f>IF(I$6=0," - ",I45/I$6)</f>
        <v xml:space="preserve"> - </v>
      </c>
      <c r="J50" s="155" t="str">
        <f>IF(J$6=0," - ",J45/J$6)</f>
        <v xml:space="preserve"> - </v>
      </c>
      <c r="K50" s="155" t="str">
        <f>IF(K$6=0," - ",K45/K$6)</f>
        <v xml:space="preserve"> - </v>
      </c>
      <c r="L50" s="155" t="str">
        <f>IF(L$6=0," - ",L45/L$6)</f>
        <v xml:space="preserve"> - </v>
      </c>
      <c r="M50" s="155" t="str">
        <f>IF(M$6=0," - ",M45/M$6)</f>
        <v xml:space="preserve"> - </v>
      </c>
      <c r="N50" s="155" t="str">
        <f>IF(N$6=0," - ",N45/N$6)</f>
        <v xml:space="preserve"> - </v>
      </c>
      <c r="O50" s="155" t="str">
        <f>IF(O$6=0," - ",O45/O$6)</f>
        <v xml:space="preserve"> - </v>
      </c>
      <c r="P50" s="155" t="str">
        <f>IF(P$6=0," - ",P45/P$6)</f>
        <v xml:space="preserve"> - </v>
      </c>
      <c r="Q50" s="155" t="str">
        <f>IF(Q$6=0," - ",Q45/Q$6)</f>
        <v xml:space="preserve"> - </v>
      </c>
    </row>
    <row r="52" spans="2:17" ht="19.5" thickBot="1">
      <c r="B52" s="327" t="s">
        <v>195</v>
      </c>
      <c r="C52" s="327"/>
      <c r="D52" s="337" t="str">
        <f>D$4</f>
        <v>1</v>
      </c>
      <c r="E52" s="337" t="str">
        <f t="shared" ref="E52:O52" si="16">E$4</f>
        <v>2</v>
      </c>
      <c r="F52" s="337" t="str">
        <f t="shared" si="16"/>
        <v>3</v>
      </c>
      <c r="G52" s="337" t="str">
        <f t="shared" si="16"/>
        <v>4</v>
      </c>
      <c r="H52" s="337" t="str">
        <f t="shared" si="16"/>
        <v>5</v>
      </c>
      <c r="I52" s="337" t="str">
        <f t="shared" si="16"/>
        <v>6</v>
      </c>
      <c r="J52" s="337" t="str">
        <f t="shared" si="16"/>
        <v>7</v>
      </c>
      <c r="K52" s="337" t="str">
        <f t="shared" si="16"/>
        <v>8</v>
      </c>
      <c r="L52" s="337" t="str">
        <f t="shared" si="16"/>
        <v>9</v>
      </c>
      <c r="M52" s="337" t="str">
        <f t="shared" si="16"/>
        <v>10</v>
      </c>
      <c r="N52" s="337" t="str">
        <f t="shared" si="16"/>
        <v>11</v>
      </c>
      <c r="O52" s="337" t="str">
        <f t="shared" si="16"/>
        <v>12</v>
      </c>
      <c r="P52" s="337" t="s">
        <v>115</v>
      </c>
      <c r="Q52" s="337" t="s">
        <v>116</v>
      </c>
    </row>
    <row r="53" spans="2:17" ht="19.5" thickTop="1">
      <c r="B53" s="328" t="s">
        <v>123</v>
      </c>
      <c r="C53" s="328"/>
      <c r="D53" s="154">
        <f>SUM(D54:D58)</f>
        <v>0</v>
      </c>
      <c r="E53" s="154">
        <f>SUM(E54:E58)</f>
        <v>0</v>
      </c>
      <c r="F53" s="154">
        <f>SUM(F54:F58)</f>
        <v>0</v>
      </c>
      <c r="G53" s="154">
        <f>SUM(G54:G58)</f>
        <v>0</v>
      </c>
      <c r="H53" s="154">
        <f>SUM(H54:H58)</f>
        <v>0</v>
      </c>
      <c r="I53" s="154">
        <f>SUM(I54:I58)</f>
        <v>0</v>
      </c>
      <c r="J53" s="154">
        <f>SUM(J54:J58)</f>
        <v>0</v>
      </c>
      <c r="K53" s="154">
        <f>SUM(K54:K58)</f>
        <v>0</v>
      </c>
      <c r="L53" s="154">
        <f>SUM(L54:L58)</f>
        <v>0</v>
      </c>
      <c r="M53" s="154">
        <f>SUM(M54:M58)</f>
        <v>0</v>
      </c>
      <c r="N53" s="154">
        <f>SUM(N54:N58)</f>
        <v>0</v>
      </c>
      <c r="O53" s="154">
        <f>SUM(O54:O58)</f>
        <v>0</v>
      </c>
      <c r="P53" s="154">
        <f>SUM(P54:P58)</f>
        <v>0</v>
      </c>
      <c r="Q53" s="154">
        <f>SUM(Q54:Q58)</f>
        <v>0</v>
      </c>
    </row>
    <row r="54" spans="2:17" ht="18.75">
      <c r="B54" s="340" t="s">
        <v>173</v>
      </c>
      <c r="C54" s="341"/>
      <c r="D54" s="147"/>
      <c r="E54" s="147"/>
      <c r="F54" s="147"/>
      <c r="G54" s="147"/>
      <c r="H54" s="147"/>
      <c r="I54" s="147"/>
      <c r="J54" s="147"/>
      <c r="K54" s="147"/>
      <c r="L54" s="147"/>
      <c r="M54" s="147"/>
      <c r="N54" s="147"/>
      <c r="O54" s="147"/>
      <c r="P54" s="148">
        <f>SUM(D54:O54)</f>
        <v>0</v>
      </c>
      <c r="Q54" s="148">
        <f t="shared" ref="Q54:Q58" si="17">P54/COLUMNS(D54:O54)</f>
        <v>0</v>
      </c>
    </row>
    <row r="55" spans="2:17" ht="18.75">
      <c r="B55" s="340" t="s">
        <v>196</v>
      </c>
      <c r="C55" s="341"/>
      <c r="D55" s="147"/>
      <c r="E55" s="147"/>
      <c r="F55" s="147"/>
      <c r="G55" s="147"/>
      <c r="H55" s="147"/>
      <c r="I55" s="147"/>
      <c r="J55" s="147"/>
      <c r="K55" s="147"/>
      <c r="L55" s="147"/>
      <c r="M55" s="147"/>
      <c r="N55" s="147"/>
      <c r="O55" s="147"/>
      <c r="P55" s="148">
        <f t="shared" ref="P55:P58" si="18">SUM(D55:O55)</f>
        <v>0</v>
      </c>
      <c r="Q55" s="148">
        <f t="shared" si="17"/>
        <v>0</v>
      </c>
    </row>
    <row r="56" spans="2:17" ht="18.75">
      <c r="B56" s="340" t="s">
        <v>197</v>
      </c>
      <c r="C56" s="341"/>
      <c r="D56" s="147"/>
      <c r="E56" s="147"/>
      <c r="F56" s="147"/>
      <c r="G56" s="147"/>
      <c r="H56" s="147"/>
      <c r="I56" s="147"/>
      <c r="J56" s="147"/>
      <c r="K56" s="147"/>
      <c r="L56" s="147"/>
      <c r="M56" s="147"/>
      <c r="N56" s="147"/>
      <c r="O56" s="147"/>
      <c r="P56" s="148">
        <f t="shared" si="18"/>
        <v>0</v>
      </c>
      <c r="Q56" s="148">
        <f t="shared" si="17"/>
        <v>0</v>
      </c>
    </row>
    <row r="57" spans="2:17" ht="18.75">
      <c r="B57" s="340" t="s">
        <v>198</v>
      </c>
      <c r="C57" s="341"/>
      <c r="D57" s="147"/>
      <c r="E57" s="147"/>
      <c r="F57" s="147"/>
      <c r="G57" s="147"/>
      <c r="H57" s="147"/>
      <c r="I57" s="147"/>
      <c r="J57" s="147"/>
      <c r="K57" s="147"/>
      <c r="L57" s="147"/>
      <c r="M57" s="147"/>
      <c r="N57" s="147"/>
      <c r="O57" s="147"/>
      <c r="P57" s="148">
        <f t="shared" si="18"/>
        <v>0</v>
      </c>
      <c r="Q57" s="148">
        <f t="shared" si="17"/>
        <v>0</v>
      </c>
    </row>
    <row r="58" spans="2:17" ht="18.75">
      <c r="B58" s="342" t="s">
        <v>199</v>
      </c>
      <c r="C58" s="343"/>
      <c r="D58" s="147"/>
      <c r="E58" s="147"/>
      <c r="F58" s="147"/>
      <c r="G58" s="147"/>
      <c r="H58" s="147"/>
      <c r="I58" s="147"/>
      <c r="J58" s="147"/>
      <c r="K58" s="147"/>
      <c r="L58" s="147"/>
      <c r="M58" s="147"/>
      <c r="N58" s="147"/>
      <c r="O58" s="147"/>
      <c r="P58" s="148">
        <f t="shared" si="18"/>
        <v>0</v>
      </c>
      <c r="Q58" s="148">
        <f t="shared" si="17"/>
        <v>0</v>
      </c>
    </row>
    <row r="59" spans="2:17" ht="18.75">
      <c r="B59" s="330" t="s">
        <v>153</v>
      </c>
      <c r="C59" s="330"/>
      <c r="D59" s="155" t="str">
        <f>IF(D$6=0," - ",D53/D$6)</f>
        <v xml:space="preserve"> - </v>
      </c>
      <c r="E59" s="155" t="str">
        <f>IF(E$6=0," - ",E53/E$6)</f>
        <v xml:space="preserve"> - </v>
      </c>
      <c r="F59" s="155" t="str">
        <f>IF(F$6=0," - ",F53/F$6)</f>
        <v xml:space="preserve"> - </v>
      </c>
      <c r="G59" s="155" t="str">
        <f>IF(G$6=0," - ",G53/G$6)</f>
        <v xml:space="preserve"> - </v>
      </c>
      <c r="H59" s="155" t="str">
        <f>IF(H$6=0," - ",H53/H$6)</f>
        <v xml:space="preserve"> - </v>
      </c>
      <c r="I59" s="155" t="str">
        <f>IF(I$6=0," - ",I53/I$6)</f>
        <v xml:space="preserve"> - </v>
      </c>
      <c r="J59" s="155" t="str">
        <f>IF(J$6=0," - ",J53/J$6)</f>
        <v xml:space="preserve"> - </v>
      </c>
      <c r="K59" s="155" t="str">
        <f>IF(K$6=0," - ",K53/K$6)</f>
        <v xml:space="preserve"> - </v>
      </c>
      <c r="L59" s="155" t="str">
        <f>IF(L$6=0," - ",L53/L$6)</f>
        <v xml:space="preserve"> - </v>
      </c>
      <c r="M59" s="155" t="str">
        <f>IF(M$6=0," - ",M53/M$6)</f>
        <v xml:space="preserve"> - </v>
      </c>
      <c r="N59" s="155" t="str">
        <f>IF(N$6=0," - ",N53/N$6)</f>
        <v xml:space="preserve"> - </v>
      </c>
      <c r="O59" s="155" t="str">
        <f>IF(O$6=0," - ",O53/O$6)</f>
        <v xml:space="preserve"> - </v>
      </c>
      <c r="P59" s="155" t="str">
        <f>IF(P$6=0," - ",P53/P$6)</f>
        <v xml:space="preserve"> - </v>
      </c>
      <c r="Q59" s="155" t="str">
        <f>IF(Q$6=0," - ",Q53/Q$6)</f>
        <v xml:space="preserve"> - </v>
      </c>
    </row>
    <row r="60" spans="2:17" ht="18.75">
      <c r="B60" s="151"/>
      <c r="C60" s="151"/>
      <c r="D60" s="156"/>
      <c r="E60" s="156"/>
      <c r="F60" s="156"/>
      <c r="G60" s="156"/>
      <c r="H60" s="156"/>
      <c r="I60" s="156"/>
      <c r="J60" s="156"/>
      <c r="K60" s="156"/>
      <c r="L60" s="156"/>
      <c r="M60" s="156"/>
      <c r="N60" s="156"/>
      <c r="O60" s="156"/>
      <c r="P60" s="156"/>
      <c r="Q60" s="156"/>
    </row>
    <row r="61" spans="2:17" ht="19.5" thickBot="1">
      <c r="B61" s="327" t="s">
        <v>502</v>
      </c>
      <c r="C61" s="327"/>
      <c r="D61" s="327" t="str">
        <f>D$4</f>
        <v>1</v>
      </c>
      <c r="E61" s="327" t="str">
        <f t="shared" ref="E61:O61" si="19">E$4</f>
        <v>2</v>
      </c>
      <c r="F61" s="327" t="str">
        <f t="shared" si="19"/>
        <v>3</v>
      </c>
      <c r="G61" s="327" t="str">
        <f t="shared" si="19"/>
        <v>4</v>
      </c>
      <c r="H61" s="327" t="str">
        <f t="shared" si="19"/>
        <v>5</v>
      </c>
      <c r="I61" s="327" t="str">
        <f t="shared" si="19"/>
        <v>6</v>
      </c>
      <c r="J61" s="327" t="str">
        <f t="shared" si="19"/>
        <v>7</v>
      </c>
      <c r="K61" s="327" t="str">
        <f t="shared" si="19"/>
        <v>8</v>
      </c>
      <c r="L61" s="327" t="str">
        <f t="shared" si="19"/>
        <v>9</v>
      </c>
      <c r="M61" s="327" t="str">
        <f t="shared" si="19"/>
        <v>10</v>
      </c>
      <c r="N61" s="327" t="str">
        <f t="shared" si="19"/>
        <v>11</v>
      </c>
      <c r="O61" s="327" t="str">
        <f t="shared" si="19"/>
        <v>12</v>
      </c>
      <c r="P61" s="351" t="s">
        <v>503</v>
      </c>
      <c r="Q61" s="337" t="s">
        <v>116</v>
      </c>
    </row>
    <row r="62" spans="2:17" ht="19.5" thickTop="1">
      <c r="B62" s="352" t="s">
        <v>123</v>
      </c>
      <c r="C62" s="352"/>
      <c r="D62" s="154">
        <f>SUM(D63:D65)</f>
        <v>0</v>
      </c>
      <c r="E62" s="154">
        <f>SUM(E63:E65)</f>
        <v>0</v>
      </c>
      <c r="F62" s="154">
        <f>SUM(F63:F65)</f>
        <v>0</v>
      </c>
      <c r="G62" s="154">
        <f>SUM(G63:G65)</f>
        <v>0</v>
      </c>
      <c r="H62" s="154">
        <f>SUM(H63:H65)</f>
        <v>0</v>
      </c>
      <c r="I62" s="154">
        <f>SUM(I63:I65)</f>
        <v>0</v>
      </c>
      <c r="J62" s="154">
        <f>SUM(J63:J65)</f>
        <v>0</v>
      </c>
      <c r="K62" s="154">
        <f>SUM(K63:K65)</f>
        <v>0</v>
      </c>
      <c r="L62" s="154">
        <f>SUM(L63:L65)</f>
        <v>0</v>
      </c>
      <c r="M62" s="154">
        <f>SUM(M63:M65)</f>
        <v>0</v>
      </c>
      <c r="N62" s="154">
        <f>SUM(N63:N65)</f>
        <v>0</v>
      </c>
      <c r="O62" s="154">
        <f>SUM(O63:O65)</f>
        <v>0</v>
      </c>
      <c r="P62" s="154">
        <f>SUM(P63:P65)</f>
        <v>0</v>
      </c>
      <c r="Q62" s="154">
        <f>SUM(Q63:Q65)</f>
        <v>0</v>
      </c>
    </row>
    <row r="63" spans="2:17" ht="18.75">
      <c r="B63" s="340" t="s">
        <v>214</v>
      </c>
      <c r="C63" s="341"/>
      <c r="D63" s="147"/>
      <c r="E63" s="147"/>
      <c r="F63" s="147"/>
      <c r="G63" s="147"/>
      <c r="H63" s="147"/>
      <c r="I63" s="147"/>
      <c r="J63" s="147"/>
      <c r="K63" s="147"/>
      <c r="L63" s="147"/>
      <c r="M63" s="147"/>
      <c r="N63" s="147"/>
      <c r="O63" s="147"/>
      <c r="P63" s="148">
        <f t="shared" ref="P63" si="20">SUM(D63:O63)</f>
        <v>0</v>
      </c>
      <c r="Q63" s="148">
        <f t="shared" ref="Q63:Q65" si="21">P63/COLUMNS(D63:O63)</f>
        <v>0</v>
      </c>
    </row>
    <row r="64" spans="2:17" ht="18.75">
      <c r="B64" s="340" t="s">
        <v>215</v>
      </c>
      <c r="C64" s="341"/>
      <c r="D64" s="147"/>
      <c r="E64" s="147"/>
      <c r="F64" s="147"/>
      <c r="G64" s="147"/>
      <c r="H64" s="147"/>
      <c r="I64" s="147"/>
      <c r="J64" s="147"/>
      <c r="K64" s="147"/>
      <c r="L64" s="147"/>
      <c r="M64" s="147"/>
      <c r="N64" s="147"/>
      <c r="O64" s="147"/>
      <c r="P64" s="148">
        <f t="shared" ref="P64:P65" si="22">SUM(D64:O64)</f>
        <v>0</v>
      </c>
      <c r="Q64" s="148">
        <f t="shared" si="21"/>
        <v>0</v>
      </c>
    </row>
    <row r="65" spans="2:17" ht="18.75">
      <c r="B65" s="342" t="s">
        <v>501</v>
      </c>
      <c r="C65" s="343"/>
      <c r="D65" s="147"/>
      <c r="E65" s="147"/>
      <c r="F65" s="147"/>
      <c r="G65" s="147"/>
      <c r="H65" s="147"/>
      <c r="I65" s="147"/>
      <c r="J65" s="147"/>
      <c r="K65" s="147"/>
      <c r="L65" s="147"/>
      <c r="M65" s="147"/>
      <c r="N65" s="147"/>
      <c r="O65" s="147"/>
      <c r="P65" s="148">
        <f t="shared" si="22"/>
        <v>0</v>
      </c>
      <c r="Q65" s="148">
        <f t="shared" si="21"/>
        <v>0</v>
      </c>
    </row>
    <row r="66" spans="2:17" ht="18.75">
      <c r="B66" s="330" t="s">
        <v>153</v>
      </c>
      <c r="C66" s="330"/>
      <c r="D66" s="155" t="str">
        <f>IF(D$6=0," - ",D62/D$6)</f>
        <v xml:space="preserve"> - </v>
      </c>
      <c r="E66" s="155" t="str">
        <f>IF(E$6=0," - ",E62/E$6)</f>
        <v xml:space="preserve"> - </v>
      </c>
      <c r="F66" s="155" t="str">
        <f>IF(F$6=0," - ",F62/F$6)</f>
        <v xml:space="preserve"> - </v>
      </c>
      <c r="G66" s="155" t="str">
        <f>IF(G$6=0," - ",G62/G$6)</f>
        <v xml:space="preserve"> - </v>
      </c>
      <c r="H66" s="155" t="str">
        <f>IF(H$6=0," - ",H62/H$6)</f>
        <v xml:space="preserve"> - </v>
      </c>
      <c r="I66" s="155" t="str">
        <f>IF(I$6=0," - ",I62/I$6)</f>
        <v xml:space="preserve"> - </v>
      </c>
      <c r="J66" s="155" t="str">
        <f>IF(J$6=0," - ",J62/J$6)</f>
        <v xml:space="preserve"> - </v>
      </c>
      <c r="K66" s="155" t="str">
        <f>IF(K$6=0," - ",K62/K$6)</f>
        <v xml:space="preserve"> - </v>
      </c>
      <c r="L66" s="155" t="str">
        <f>IF(L$6=0," - ",L62/L$6)</f>
        <v xml:space="preserve"> - </v>
      </c>
      <c r="M66" s="155" t="str">
        <f>IF(M$6=0," - ",M62/M$6)</f>
        <v xml:space="preserve"> - </v>
      </c>
      <c r="N66" s="155" t="str">
        <f>IF(N$6=0," - ",N62/N$6)</f>
        <v xml:space="preserve"> - </v>
      </c>
      <c r="O66" s="155" t="str">
        <f>IF(O$6=0," - ",O62/O$6)</f>
        <v xml:space="preserve"> - </v>
      </c>
      <c r="P66" s="155" t="str">
        <f>IF(P$6=0," - ",P62/P$6)</f>
        <v xml:space="preserve"> - </v>
      </c>
      <c r="Q66" s="155" t="str">
        <f>IF(Q$6=0," - ",Q62/Q$6)</f>
        <v xml:space="preserve"> - </v>
      </c>
    </row>
    <row r="68" spans="2:17" ht="19.5" thickBot="1">
      <c r="B68" s="346" t="s">
        <v>172</v>
      </c>
      <c r="C68" s="346"/>
      <c r="D68" s="347" t="str">
        <f>D$4</f>
        <v>1</v>
      </c>
      <c r="E68" s="347" t="str">
        <f t="shared" ref="E68:O68" si="23">E$4</f>
        <v>2</v>
      </c>
      <c r="F68" s="347" t="str">
        <f t="shared" si="23"/>
        <v>3</v>
      </c>
      <c r="G68" s="347" t="str">
        <f t="shared" si="23"/>
        <v>4</v>
      </c>
      <c r="H68" s="347" t="str">
        <f t="shared" si="23"/>
        <v>5</v>
      </c>
      <c r="I68" s="347" t="str">
        <f t="shared" si="23"/>
        <v>6</v>
      </c>
      <c r="J68" s="347" t="str">
        <f t="shared" si="23"/>
        <v>7</v>
      </c>
      <c r="K68" s="347" t="str">
        <f t="shared" si="23"/>
        <v>8</v>
      </c>
      <c r="L68" s="347" t="str">
        <f t="shared" si="23"/>
        <v>9</v>
      </c>
      <c r="M68" s="347" t="str">
        <f t="shared" si="23"/>
        <v>10</v>
      </c>
      <c r="N68" s="347" t="str">
        <f t="shared" si="23"/>
        <v>11</v>
      </c>
      <c r="O68" s="347" t="str">
        <f t="shared" si="23"/>
        <v>12</v>
      </c>
      <c r="P68" s="347" t="s">
        <v>115</v>
      </c>
      <c r="Q68" s="347" t="s">
        <v>116</v>
      </c>
    </row>
    <row r="69" spans="2:17" ht="19.5" thickTop="1">
      <c r="B69" s="348" t="s">
        <v>123</v>
      </c>
      <c r="C69" s="348"/>
      <c r="D69" s="154">
        <f>SUM(D70:D73)</f>
        <v>0</v>
      </c>
      <c r="E69" s="154">
        <f>SUM(E70:E73)</f>
        <v>0</v>
      </c>
      <c r="F69" s="154">
        <f>SUM(F70:F73)</f>
        <v>0</v>
      </c>
      <c r="G69" s="154">
        <f>SUM(G70:G73)</f>
        <v>0</v>
      </c>
      <c r="H69" s="154">
        <f>SUM(H70:H73)</f>
        <v>0</v>
      </c>
      <c r="I69" s="154">
        <f>SUM(I70:I73)</f>
        <v>0</v>
      </c>
      <c r="J69" s="154">
        <f>SUM(J70:J73)</f>
        <v>0</v>
      </c>
      <c r="K69" s="154">
        <f>SUM(K70:K73)</f>
        <v>0</v>
      </c>
      <c r="L69" s="154">
        <f>SUM(L70:L73)</f>
        <v>0</v>
      </c>
      <c r="M69" s="154">
        <f>SUM(M70:M73)</f>
        <v>0</v>
      </c>
      <c r="N69" s="154">
        <f>SUM(N70:N73)</f>
        <v>0</v>
      </c>
      <c r="O69" s="154">
        <f>SUM(O70:O73)</f>
        <v>0</v>
      </c>
      <c r="P69" s="154">
        <f>SUM(P70:P73)</f>
        <v>0</v>
      </c>
      <c r="Q69" s="154">
        <f>SUM(Q70:Q73)</f>
        <v>0</v>
      </c>
    </row>
    <row r="70" spans="2:17" ht="18.75">
      <c r="B70" s="340" t="s">
        <v>173</v>
      </c>
      <c r="C70" s="341"/>
      <c r="D70" s="147"/>
      <c r="E70" s="147"/>
      <c r="F70" s="147"/>
      <c r="G70" s="147"/>
      <c r="H70" s="147"/>
      <c r="I70" s="147"/>
      <c r="J70" s="147"/>
      <c r="K70" s="147"/>
      <c r="L70" s="147"/>
      <c r="M70" s="147"/>
      <c r="N70" s="147"/>
      <c r="O70" s="147"/>
      <c r="P70" s="148">
        <f t="shared" ref="P70" si="24">SUM(D70:O70)</f>
        <v>0</v>
      </c>
      <c r="Q70" s="148">
        <f t="shared" ref="Q70:Q73" si="25">P70/COLUMNS(D70:O70)</f>
        <v>0</v>
      </c>
    </row>
    <row r="71" spans="2:17" ht="18.75">
      <c r="B71" s="340" t="s">
        <v>174</v>
      </c>
      <c r="C71" s="341"/>
      <c r="D71" s="147"/>
      <c r="E71" s="147"/>
      <c r="F71" s="147"/>
      <c r="G71" s="147"/>
      <c r="H71" s="147"/>
      <c r="I71" s="147"/>
      <c r="J71" s="147"/>
      <c r="K71" s="147"/>
      <c r="L71" s="147"/>
      <c r="M71" s="147"/>
      <c r="N71" s="147"/>
      <c r="O71" s="147"/>
      <c r="P71" s="148">
        <f t="shared" ref="P71:P73" si="26">SUM(D71:O71)</f>
        <v>0</v>
      </c>
      <c r="Q71" s="148">
        <f t="shared" si="25"/>
        <v>0</v>
      </c>
    </row>
    <row r="72" spans="2:17" ht="18.75">
      <c r="B72" s="340" t="s">
        <v>175</v>
      </c>
      <c r="C72" s="341"/>
      <c r="D72" s="147"/>
      <c r="E72" s="147"/>
      <c r="F72" s="147"/>
      <c r="G72" s="147"/>
      <c r="H72" s="147"/>
      <c r="I72" s="147"/>
      <c r="J72" s="147"/>
      <c r="K72" s="147"/>
      <c r="L72" s="147"/>
      <c r="M72" s="147"/>
      <c r="N72" s="147"/>
      <c r="O72" s="147"/>
      <c r="P72" s="148">
        <f t="shared" si="26"/>
        <v>0</v>
      </c>
      <c r="Q72" s="148">
        <f t="shared" si="25"/>
        <v>0</v>
      </c>
    </row>
    <row r="73" spans="2:17" ht="18.75">
      <c r="B73" s="342" t="s">
        <v>122</v>
      </c>
      <c r="C73" s="343"/>
      <c r="D73" s="147"/>
      <c r="E73" s="147"/>
      <c r="F73" s="147"/>
      <c r="G73" s="147"/>
      <c r="H73" s="147"/>
      <c r="I73" s="147"/>
      <c r="J73" s="147"/>
      <c r="K73" s="147"/>
      <c r="L73" s="147"/>
      <c r="M73" s="147"/>
      <c r="N73" s="147"/>
      <c r="O73" s="147"/>
      <c r="P73" s="148">
        <f t="shared" si="26"/>
        <v>0</v>
      </c>
      <c r="Q73" s="148">
        <f t="shared" si="25"/>
        <v>0</v>
      </c>
    </row>
    <row r="74" spans="2:17" ht="18.75">
      <c r="B74" s="330" t="s">
        <v>153</v>
      </c>
      <c r="C74" s="330"/>
      <c r="D74" s="155" t="str">
        <f>IF(D$6=0," - ",D69/D$6)</f>
        <v xml:space="preserve"> - </v>
      </c>
      <c r="E74" s="155" t="str">
        <f>IF(E$6=0," - ",E69/E$6)</f>
        <v xml:space="preserve"> - </v>
      </c>
      <c r="F74" s="155" t="str">
        <f>IF(F$6=0," - ",F69/F$6)</f>
        <v xml:space="preserve"> - </v>
      </c>
      <c r="G74" s="155" t="str">
        <f>IF(G$6=0," - ",G69/G$6)</f>
        <v xml:space="preserve"> - </v>
      </c>
      <c r="H74" s="155" t="str">
        <f>IF(H$6=0," - ",H69/H$6)</f>
        <v xml:space="preserve"> - </v>
      </c>
      <c r="I74" s="155" t="str">
        <f>IF(I$6=0," - ",I69/I$6)</f>
        <v xml:space="preserve"> - </v>
      </c>
      <c r="J74" s="155" t="str">
        <f>IF(J$6=0," - ",J69/J$6)</f>
        <v xml:space="preserve"> - </v>
      </c>
      <c r="K74" s="155" t="str">
        <f>IF(K$6=0," - ",K69/K$6)</f>
        <v xml:space="preserve"> - </v>
      </c>
      <c r="L74" s="155" t="str">
        <f>IF(L$6=0," - ",L69/L$6)</f>
        <v xml:space="preserve"> - </v>
      </c>
      <c r="M74" s="155" t="str">
        <f>IF(M$6=0," - ",M69/M$6)</f>
        <v xml:space="preserve"> - </v>
      </c>
      <c r="N74" s="155" t="str">
        <f>IF(N$6=0," - ",N69/N$6)</f>
        <v xml:space="preserve"> - </v>
      </c>
      <c r="O74" s="155" t="str">
        <f>IF(O$6=0," - ",O69/O$6)</f>
        <v xml:space="preserve"> - </v>
      </c>
      <c r="P74" s="155" t="str">
        <f>IF(P$6=0," - ",P69/P$6)</f>
        <v xml:space="preserve"> - </v>
      </c>
      <c r="Q74" s="155" t="str">
        <f>IF(Q$6=0," - ",Q69/Q$6)</f>
        <v xml:space="preserve"> - </v>
      </c>
    </row>
    <row r="76" spans="2:17" ht="19.5" thickBot="1">
      <c r="B76" s="349" t="s">
        <v>176</v>
      </c>
      <c r="C76" s="349"/>
      <c r="D76" s="350" t="str">
        <f>D$4</f>
        <v>1</v>
      </c>
      <c r="E76" s="350" t="str">
        <f t="shared" ref="E76:O76" si="27">E$4</f>
        <v>2</v>
      </c>
      <c r="F76" s="350" t="str">
        <f t="shared" si="27"/>
        <v>3</v>
      </c>
      <c r="G76" s="350" t="str">
        <f t="shared" si="27"/>
        <v>4</v>
      </c>
      <c r="H76" s="350" t="str">
        <f t="shared" si="27"/>
        <v>5</v>
      </c>
      <c r="I76" s="350" t="str">
        <f t="shared" si="27"/>
        <v>6</v>
      </c>
      <c r="J76" s="350" t="str">
        <f t="shared" si="27"/>
        <v>7</v>
      </c>
      <c r="K76" s="350" t="str">
        <f t="shared" si="27"/>
        <v>8</v>
      </c>
      <c r="L76" s="350" t="str">
        <f t="shared" si="27"/>
        <v>9</v>
      </c>
      <c r="M76" s="350" t="str">
        <f t="shared" si="27"/>
        <v>10</v>
      </c>
      <c r="N76" s="350" t="str">
        <f t="shared" si="27"/>
        <v>11</v>
      </c>
      <c r="O76" s="350" t="str">
        <f t="shared" si="27"/>
        <v>12</v>
      </c>
      <c r="P76" s="350" t="s">
        <v>115</v>
      </c>
      <c r="Q76" s="350" t="s">
        <v>116</v>
      </c>
    </row>
    <row r="77" spans="2:17" ht="19.5" thickTop="1">
      <c r="B77" s="348" t="s">
        <v>123</v>
      </c>
      <c r="C77" s="348"/>
      <c r="D77" s="154">
        <f>SUM(D78:D88)</f>
        <v>0</v>
      </c>
      <c r="E77" s="154">
        <f>SUM(E78:E88)</f>
        <v>0</v>
      </c>
      <c r="F77" s="154">
        <f>SUM(F78:F88)</f>
        <v>0</v>
      </c>
      <c r="G77" s="154">
        <f>SUM(G78:G88)</f>
        <v>0</v>
      </c>
      <c r="H77" s="154">
        <f>SUM(H78:H88)</f>
        <v>0</v>
      </c>
      <c r="I77" s="154">
        <f>SUM(I78:I88)</f>
        <v>0</v>
      </c>
      <c r="J77" s="154">
        <f>SUM(J78:J88)</f>
        <v>0</v>
      </c>
      <c r="K77" s="154">
        <f>SUM(K78:K88)</f>
        <v>0</v>
      </c>
      <c r="L77" s="154">
        <f>SUM(L78:L88)</f>
        <v>0</v>
      </c>
      <c r="M77" s="154">
        <f>SUM(M78:M88)</f>
        <v>0</v>
      </c>
      <c r="N77" s="154">
        <f>SUM(N78:N88)</f>
        <v>0</v>
      </c>
      <c r="O77" s="154">
        <f>SUM(O78:O88)</f>
        <v>0</v>
      </c>
      <c r="P77" s="154">
        <f>SUM(P78:P88)</f>
        <v>0</v>
      </c>
      <c r="Q77" s="154">
        <f>SUM(Q78:Q88)</f>
        <v>0</v>
      </c>
    </row>
    <row r="78" spans="2:17" ht="18.75">
      <c r="B78" s="340" t="s">
        <v>177</v>
      </c>
      <c r="C78" s="341"/>
      <c r="D78" s="147"/>
      <c r="E78" s="147"/>
      <c r="F78" s="147"/>
      <c r="G78" s="147"/>
      <c r="H78" s="147"/>
      <c r="I78" s="147"/>
      <c r="J78" s="147"/>
      <c r="K78" s="147"/>
      <c r="L78" s="147"/>
      <c r="M78" s="147"/>
      <c r="N78" s="147"/>
      <c r="O78" s="147"/>
      <c r="P78" s="148">
        <f>SUM(D78:O78)</f>
        <v>0</v>
      </c>
      <c r="Q78" s="148">
        <f t="shared" ref="Q78:Q88" si="28">P78/COLUMNS(D78:O78)</f>
        <v>0</v>
      </c>
    </row>
    <row r="79" spans="2:17" ht="18.75">
      <c r="B79" s="340" t="s">
        <v>174</v>
      </c>
      <c r="C79" s="341"/>
      <c r="D79" s="147"/>
      <c r="E79" s="147"/>
      <c r="F79" s="147"/>
      <c r="G79" s="147"/>
      <c r="H79" s="147"/>
      <c r="I79" s="147"/>
      <c r="J79" s="147"/>
      <c r="K79" s="147"/>
      <c r="L79" s="147"/>
      <c r="M79" s="147"/>
      <c r="N79" s="147"/>
      <c r="O79" s="147"/>
      <c r="P79" s="148">
        <f t="shared" ref="P79:P88" si="29">SUM(D79:O79)</f>
        <v>0</v>
      </c>
      <c r="Q79" s="148">
        <f t="shared" si="28"/>
        <v>0</v>
      </c>
    </row>
    <row r="80" spans="2:17" ht="18.75">
      <c r="B80" s="340" t="s">
        <v>178</v>
      </c>
      <c r="C80" s="341"/>
      <c r="D80" s="147"/>
      <c r="E80" s="147"/>
      <c r="F80" s="147"/>
      <c r="G80" s="147"/>
      <c r="H80" s="147"/>
      <c r="I80" s="147"/>
      <c r="J80" s="147"/>
      <c r="K80" s="147"/>
      <c r="L80" s="147"/>
      <c r="M80" s="147"/>
      <c r="N80" s="147"/>
      <c r="O80" s="147"/>
      <c r="P80" s="148">
        <f t="shared" si="29"/>
        <v>0</v>
      </c>
      <c r="Q80" s="148">
        <f t="shared" si="28"/>
        <v>0</v>
      </c>
    </row>
    <row r="81" spans="2:17" ht="18.75">
      <c r="B81" s="340" t="s">
        <v>179</v>
      </c>
      <c r="C81" s="341"/>
      <c r="D81" s="147"/>
      <c r="E81" s="147"/>
      <c r="F81" s="147"/>
      <c r="G81" s="147"/>
      <c r="H81" s="147"/>
      <c r="I81" s="147"/>
      <c r="J81" s="147"/>
      <c r="K81" s="147"/>
      <c r="L81" s="147"/>
      <c r="M81" s="147"/>
      <c r="N81" s="147"/>
      <c r="O81" s="147"/>
      <c r="P81" s="148">
        <f t="shared" si="29"/>
        <v>0</v>
      </c>
      <c r="Q81" s="148">
        <f t="shared" si="28"/>
        <v>0</v>
      </c>
    </row>
    <row r="82" spans="2:17" ht="18.75">
      <c r="B82" s="340" t="s">
        <v>180</v>
      </c>
      <c r="C82" s="341"/>
      <c r="D82" s="147"/>
      <c r="E82" s="147"/>
      <c r="F82" s="147"/>
      <c r="G82" s="147"/>
      <c r="H82" s="147"/>
      <c r="I82" s="147"/>
      <c r="J82" s="147"/>
      <c r="K82" s="147"/>
      <c r="L82" s="147"/>
      <c r="M82" s="147"/>
      <c r="N82" s="147"/>
      <c r="O82" s="147"/>
      <c r="P82" s="148">
        <f t="shared" si="29"/>
        <v>0</v>
      </c>
      <c r="Q82" s="148">
        <f t="shared" si="28"/>
        <v>0</v>
      </c>
    </row>
    <row r="83" spans="2:17" ht="18.75">
      <c r="B83" s="340" t="s">
        <v>181</v>
      </c>
      <c r="C83" s="341"/>
      <c r="D83" s="147"/>
      <c r="E83" s="147"/>
      <c r="F83" s="147"/>
      <c r="G83" s="147"/>
      <c r="H83" s="147"/>
      <c r="I83" s="147"/>
      <c r="J83" s="147"/>
      <c r="K83" s="147"/>
      <c r="L83" s="147"/>
      <c r="M83" s="147"/>
      <c r="N83" s="147"/>
      <c r="O83" s="147"/>
      <c r="P83" s="148">
        <f t="shared" si="29"/>
        <v>0</v>
      </c>
      <c r="Q83" s="148">
        <f t="shared" si="28"/>
        <v>0</v>
      </c>
    </row>
    <row r="84" spans="2:17" ht="18.75">
      <c r="B84" s="340" t="s">
        <v>182</v>
      </c>
      <c r="C84" s="341"/>
      <c r="D84" s="147"/>
      <c r="E84" s="147"/>
      <c r="F84" s="147"/>
      <c r="G84" s="147"/>
      <c r="H84" s="147"/>
      <c r="I84" s="147"/>
      <c r="J84" s="147"/>
      <c r="K84" s="147"/>
      <c r="L84" s="147"/>
      <c r="M84" s="147"/>
      <c r="N84" s="147"/>
      <c r="O84" s="147"/>
      <c r="P84" s="148">
        <f t="shared" si="29"/>
        <v>0</v>
      </c>
      <c r="Q84" s="148">
        <f t="shared" si="28"/>
        <v>0</v>
      </c>
    </row>
    <row r="85" spans="2:17" ht="18.75">
      <c r="B85" s="340" t="s">
        <v>183</v>
      </c>
      <c r="C85" s="341"/>
      <c r="D85" s="147"/>
      <c r="E85" s="147"/>
      <c r="F85" s="147"/>
      <c r="G85" s="147"/>
      <c r="H85" s="147"/>
      <c r="I85" s="147"/>
      <c r="J85" s="147"/>
      <c r="K85" s="147"/>
      <c r="L85" s="147"/>
      <c r="M85" s="147"/>
      <c r="N85" s="147"/>
      <c r="O85" s="147"/>
      <c r="P85" s="148">
        <f t="shared" si="29"/>
        <v>0</v>
      </c>
      <c r="Q85" s="148">
        <f t="shared" si="28"/>
        <v>0</v>
      </c>
    </row>
    <row r="86" spans="2:17" ht="18.75">
      <c r="B86" s="340" t="s">
        <v>184</v>
      </c>
      <c r="C86" s="341"/>
      <c r="D86" s="147"/>
      <c r="E86" s="147"/>
      <c r="F86" s="147"/>
      <c r="G86" s="147"/>
      <c r="H86" s="147"/>
      <c r="I86" s="147"/>
      <c r="J86" s="147"/>
      <c r="K86" s="147"/>
      <c r="L86" s="147"/>
      <c r="M86" s="147"/>
      <c r="N86" s="147"/>
      <c r="O86" s="147"/>
      <c r="P86" s="148">
        <f t="shared" si="29"/>
        <v>0</v>
      </c>
      <c r="Q86" s="148">
        <f t="shared" si="28"/>
        <v>0</v>
      </c>
    </row>
    <row r="87" spans="2:17" ht="18.75">
      <c r="B87" s="340" t="s">
        <v>185</v>
      </c>
      <c r="C87" s="341"/>
      <c r="D87" s="147"/>
      <c r="E87" s="147"/>
      <c r="F87" s="147"/>
      <c r="G87" s="147"/>
      <c r="H87" s="147"/>
      <c r="I87" s="147"/>
      <c r="J87" s="147"/>
      <c r="K87" s="147"/>
      <c r="L87" s="147"/>
      <c r="M87" s="147"/>
      <c r="N87" s="147"/>
      <c r="O87" s="147"/>
      <c r="P87" s="148">
        <f t="shared" si="29"/>
        <v>0</v>
      </c>
      <c r="Q87" s="148">
        <f t="shared" si="28"/>
        <v>0</v>
      </c>
    </row>
    <row r="88" spans="2:17" ht="18.75">
      <c r="B88" s="342" t="s">
        <v>122</v>
      </c>
      <c r="C88" s="343"/>
      <c r="D88" s="147"/>
      <c r="E88" s="147"/>
      <c r="F88" s="147"/>
      <c r="G88" s="147"/>
      <c r="H88" s="147"/>
      <c r="I88" s="147"/>
      <c r="J88" s="147"/>
      <c r="K88" s="147"/>
      <c r="L88" s="147"/>
      <c r="M88" s="147"/>
      <c r="N88" s="147"/>
      <c r="O88" s="147"/>
      <c r="P88" s="148">
        <f t="shared" si="29"/>
        <v>0</v>
      </c>
      <c r="Q88" s="148">
        <f t="shared" si="28"/>
        <v>0</v>
      </c>
    </row>
    <row r="89" spans="2:17" ht="18.75">
      <c r="B89" s="330" t="s">
        <v>153</v>
      </c>
      <c r="C89" s="330"/>
      <c r="D89" s="155" t="str">
        <f>IF(D$6=0," - ",D77/D$6)</f>
        <v xml:space="preserve"> - </v>
      </c>
      <c r="E89" s="155" t="str">
        <f>IF(E$6=0," - ",E77/E$6)</f>
        <v xml:space="preserve"> - </v>
      </c>
      <c r="F89" s="155" t="str">
        <f>IF(F$6=0," - ",F77/F$6)</f>
        <v xml:space="preserve"> - </v>
      </c>
      <c r="G89" s="155" t="str">
        <f>IF(G$6=0," - ",G77/G$6)</f>
        <v xml:space="preserve"> - </v>
      </c>
      <c r="H89" s="155" t="str">
        <f>IF(H$6=0," - ",H77/H$6)</f>
        <v xml:space="preserve"> - </v>
      </c>
      <c r="I89" s="155" t="str">
        <f>IF(I$6=0," - ",I77/I$6)</f>
        <v xml:space="preserve"> - </v>
      </c>
      <c r="J89" s="155" t="str">
        <f>IF(J$6=0," - ",J77/J$6)</f>
        <v xml:space="preserve"> - </v>
      </c>
      <c r="K89" s="155" t="str">
        <f>IF(K$6=0," - ",K77/K$6)</f>
        <v xml:space="preserve"> - </v>
      </c>
      <c r="L89" s="155" t="str">
        <f>IF(L$6=0," - ",L77/L$6)</f>
        <v xml:space="preserve"> - </v>
      </c>
      <c r="M89" s="155" t="str">
        <f>IF(M$6=0," - ",M77/M$6)</f>
        <v xml:space="preserve"> - </v>
      </c>
      <c r="N89" s="155" t="str">
        <f>IF(N$6=0," - ",N77/N$6)</f>
        <v xml:space="preserve"> - </v>
      </c>
      <c r="O89" s="155" t="str">
        <f>IF(O$6=0," - ",O77/O$6)</f>
        <v xml:space="preserve"> - </v>
      </c>
      <c r="P89" s="155" t="str">
        <f>IF(P$6=0," - ",P77/P$6)</f>
        <v xml:space="preserve"> - </v>
      </c>
      <c r="Q89" s="155" t="str">
        <f>IF(Q$6=0," - ",Q77/Q$6)</f>
        <v xml:space="preserve"> - </v>
      </c>
    </row>
    <row r="90" spans="2:17" ht="18.75">
      <c r="B90" s="151"/>
      <c r="C90" s="151"/>
      <c r="D90" s="156"/>
      <c r="E90" s="156"/>
      <c r="F90" s="156"/>
      <c r="G90" s="156"/>
      <c r="H90" s="156"/>
      <c r="I90" s="156"/>
      <c r="J90" s="156"/>
      <c r="K90" s="156"/>
      <c r="L90" s="156"/>
      <c r="M90" s="156"/>
      <c r="N90" s="156"/>
      <c r="O90" s="156"/>
      <c r="P90" s="156"/>
      <c r="Q90" s="156"/>
    </row>
    <row r="91" spans="2:17" ht="19.5" thickBot="1">
      <c r="B91" s="338" t="s">
        <v>186</v>
      </c>
      <c r="C91" s="338"/>
      <c r="D91" s="339" t="str">
        <f>D$4</f>
        <v>1</v>
      </c>
      <c r="E91" s="339" t="str">
        <f t="shared" ref="E91:O91" si="30">E$4</f>
        <v>2</v>
      </c>
      <c r="F91" s="339" t="str">
        <f t="shared" si="30"/>
        <v>3</v>
      </c>
      <c r="G91" s="339" t="str">
        <f t="shared" si="30"/>
        <v>4</v>
      </c>
      <c r="H91" s="339" t="str">
        <f t="shared" si="30"/>
        <v>5</v>
      </c>
      <c r="I91" s="339" t="str">
        <f t="shared" si="30"/>
        <v>6</v>
      </c>
      <c r="J91" s="339" t="str">
        <f t="shared" si="30"/>
        <v>7</v>
      </c>
      <c r="K91" s="339" t="str">
        <f t="shared" si="30"/>
        <v>8</v>
      </c>
      <c r="L91" s="339" t="str">
        <f t="shared" si="30"/>
        <v>9</v>
      </c>
      <c r="M91" s="339" t="str">
        <f t="shared" si="30"/>
        <v>10</v>
      </c>
      <c r="N91" s="339" t="str">
        <f t="shared" si="30"/>
        <v>11</v>
      </c>
      <c r="O91" s="339" t="str">
        <f t="shared" si="30"/>
        <v>12</v>
      </c>
      <c r="P91" s="339" t="s">
        <v>115</v>
      </c>
      <c r="Q91" s="339" t="s">
        <v>116</v>
      </c>
    </row>
    <row r="92" spans="2:17" ht="19.5" thickTop="1">
      <c r="B92" s="332" t="s">
        <v>123</v>
      </c>
      <c r="C92" s="332"/>
      <c r="D92" s="154">
        <f>SUM(D93:D96)</f>
        <v>0</v>
      </c>
      <c r="E92" s="154">
        <f>SUM(E93:E96)</f>
        <v>0</v>
      </c>
      <c r="F92" s="154">
        <f>SUM(F93:F96)</f>
        <v>0</v>
      </c>
      <c r="G92" s="154">
        <f>SUM(G93:G96)</f>
        <v>0</v>
      </c>
      <c r="H92" s="154">
        <f>SUM(H93:H96)</f>
        <v>0</v>
      </c>
      <c r="I92" s="154">
        <f>SUM(I93:I96)</f>
        <v>0</v>
      </c>
      <c r="J92" s="154">
        <f>SUM(J93:J96)</f>
        <v>0</v>
      </c>
      <c r="K92" s="154">
        <f>SUM(K93:K96)</f>
        <v>0</v>
      </c>
      <c r="L92" s="154">
        <f>SUM(L93:L96)</f>
        <v>0</v>
      </c>
      <c r="M92" s="154">
        <f>SUM(M93:M96)</f>
        <v>0</v>
      </c>
      <c r="N92" s="154">
        <f>SUM(N93:N96)</f>
        <v>0</v>
      </c>
      <c r="O92" s="154">
        <f>SUM(O93:O96)</f>
        <v>0</v>
      </c>
      <c r="P92" s="154">
        <f>SUM(P93:P96)</f>
        <v>0</v>
      </c>
      <c r="Q92" s="154">
        <f>SUM(Q93:Q96)</f>
        <v>0</v>
      </c>
    </row>
    <row r="93" spans="2:17" ht="18.75">
      <c r="B93" s="334" t="s">
        <v>187</v>
      </c>
      <c r="C93" s="335"/>
      <c r="D93" s="147"/>
      <c r="E93" s="147"/>
      <c r="F93" s="147"/>
      <c r="G93" s="147"/>
      <c r="H93" s="147"/>
      <c r="I93" s="147"/>
      <c r="J93" s="147"/>
      <c r="K93" s="147"/>
      <c r="L93" s="147"/>
      <c r="M93" s="147"/>
      <c r="N93" s="147"/>
      <c r="O93" s="147"/>
      <c r="P93" s="148">
        <f t="shared" ref="P93" si="31">SUM(D93:O93)</f>
        <v>0</v>
      </c>
      <c r="Q93" s="148">
        <f t="shared" ref="Q93:Q96" si="32">P93/COLUMNS(D93:O93)</f>
        <v>0</v>
      </c>
    </row>
    <row r="94" spans="2:17" ht="18.75">
      <c r="B94" s="334" t="s">
        <v>188</v>
      </c>
      <c r="C94" s="335"/>
      <c r="D94" s="147"/>
      <c r="E94" s="147"/>
      <c r="F94" s="147"/>
      <c r="G94" s="147"/>
      <c r="H94" s="147"/>
      <c r="I94" s="147"/>
      <c r="J94" s="147"/>
      <c r="K94" s="147"/>
      <c r="L94" s="147"/>
      <c r="M94" s="147"/>
      <c r="N94" s="147"/>
      <c r="O94" s="147"/>
      <c r="P94" s="148">
        <f t="shared" ref="P94:P96" si="33">SUM(D94:O94)</f>
        <v>0</v>
      </c>
      <c r="Q94" s="148">
        <f t="shared" si="32"/>
        <v>0</v>
      </c>
    </row>
    <row r="95" spans="2:17" ht="18.75">
      <c r="B95" s="334" t="s">
        <v>189</v>
      </c>
      <c r="C95" s="335"/>
      <c r="D95" s="147"/>
      <c r="E95" s="147"/>
      <c r="F95" s="147"/>
      <c r="G95" s="147"/>
      <c r="H95" s="147"/>
      <c r="I95" s="147"/>
      <c r="J95" s="147"/>
      <c r="K95" s="147"/>
      <c r="L95" s="147"/>
      <c r="M95" s="147"/>
      <c r="N95" s="147"/>
      <c r="O95" s="147"/>
      <c r="P95" s="148">
        <f t="shared" si="33"/>
        <v>0</v>
      </c>
      <c r="Q95" s="148">
        <f t="shared" si="32"/>
        <v>0</v>
      </c>
    </row>
    <row r="96" spans="2:17" ht="18.75">
      <c r="B96" s="333" t="s">
        <v>122</v>
      </c>
      <c r="C96" s="336"/>
      <c r="D96" s="147"/>
      <c r="E96" s="147"/>
      <c r="F96" s="147"/>
      <c r="G96" s="147"/>
      <c r="H96" s="147"/>
      <c r="I96" s="147"/>
      <c r="J96" s="147"/>
      <c r="K96" s="147"/>
      <c r="L96" s="147"/>
      <c r="M96" s="147"/>
      <c r="N96" s="147"/>
      <c r="O96" s="147"/>
      <c r="P96" s="148">
        <f t="shared" si="33"/>
        <v>0</v>
      </c>
      <c r="Q96" s="148">
        <f t="shared" si="32"/>
        <v>0</v>
      </c>
    </row>
    <row r="97" spans="2:17" ht="18.75">
      <c r="B97" s="330" t="s">
        <v>153</v>
      </c>
      <c r="C97" s="330"/>
      <c r="D97" s="155" t="str">
        <f>IF(D$6=0," - ",D92/D$6)</f>
        <v xml:space="preserve"> - </v>
      </c>
      <c r="E97" s="155" t="str">
        <f>IF(E$6=0," - ",E92/E$6)</f>
        <v xml:space="preserve"> - </v>
      </c>
      <c r="F97" s="155" t="str">
        <f>IF(F$6=0," - ",F92/F$6)</f>
        <v xml:space="preserve"> - </v>
      </c>
      <c r="G97" s="155" t="str">
        <f>IF(G$6=0," - ",G92/G$6)</f>
        <v xml:space="preserve"> - </v>
      </c>
      <c r="H97" s="155" t="str">
        <f>IF(H$6=0," - ",H92/H$6)</f>
        <v xml:space="preserve"> - </v>
      </c>
      <c r="I97" s="155" t="str">
        <f>IF(I$6=0," - ",I92/I$6)</f>
        <v xml:space="preserve"> - </v>
      </c>
      <c r="J97" s="155" t="str">
        <f>IF(J$6=0," - ",J92/J$6)</f>
        <v xml:space="preserve"> - </v>
      </c>
      <c r="K97" s="155" t="str">
        <f>IF(K$6=0," - ",K92/K$6)</f>
        <v xml:space="preserve"> - </v>
      </c>
      <c r="L97" s="155" t="str">
        <f>IF(L$6=0," - ",L92/L$6)</f>
        <v xml:space="preserve"> - </v>
      </c>
      <c r="M97" s="155" t="str">
        <f>IF(M$6=0," - ",M92/M$6)</f>
        <v xml:space="preserve"> - </v>
      </c>
      <c r="N97" s="155" t="str">
        <f>IF(N$6=0," - ",N92/N$6)</f>
        <v xml:space="preserve"> - </v>
      </c>
      <c r="O97" s="155" t="str">
        <f>IF(O$6=0," - ",O92/O$6)</f>
        <v xml:space="preserve"> - </v>
      </c>
      <c r="P97" s="155" t="str">
        <f>IF(P$6=0," - ",P92/P$6)</f>
        <v xml:space="preserve"> - </v>
      </c>
      <c r="Q97" s="155" t="str">
        <f>IF(Q$6=0," - ",Q92/Q$6)</f>
        <v xml:space="preserve"> - </v>
      </c>
    </row>
    <row r="98" spans="2:17" ht="18.75">
      <c r="B98" s="151"/>
      <c r="C98" s="151"/>
      <c r="D98" s="156"/>
      <c r="E98" s="156"/>
      <c r="F98" s="156"/>
      <c r="G98" s="156"/>
      <c r="H98" s="156"/>
      <c r="I98" s="156"/>
      <c r="J98" s="156"/>
      <c r="K98" s="156"/>
      <c r="L98" s="156"/>
      <c r="M98" s="156"/>
      <c r="N98" s="156"/>
      <c r="O98" s="156"/>
      <c r="P98" s="156"/>
      <c r="Q98" s="156"/>
    </row>
    <row r="99" spans="2:17" ht="18.75">
      <c r="B99" s="151"/>
      <c r="C99" s="151"/>
      <c r="D99" s="156"/>
      <c r="E99" s="156"/>
      <c r="F99" s="156"/>
      <c r="G99" s="156"/>
      <c r="H99" s="156"/>
      <c r="I99" s="156"/>
      <c r="J99" s="156"/>
      <c r="K99" s="156"/>
      <c r="L99" s="156"/>
      <c r="M99" s="156"/>
      <c r="N99" s="156"/>
      <c r="O99" s="156"/>
      <c r="P99" s="156"/>
      <c r="Q99" s="156"/>
    </row>
    <row r="100" spans="2:17" ht="19.5" thickBot="1">
      <c r="B100" s="349" t="s">
        <v>190</v>
      </c>
      <c r="C100" s="349"/>
      <c r="D100" s="350" t="str">
        <f>D$4</f>
        <v>1</v>
      </c>
      <c r="E100" s="350" t="str">
        <f t="shared" ref="E100:O100" si="34">E$4</f>
        <v>2</v>
      </c>
      <c r="F100" s="350" t="str">
        <f t="shared" si="34"/>
        <v>3</v>
      </c>
      <c r="G100" s="350" t="str">
        <f t="shared" si="34"/>
        <v>4</v>
      </c>
      <c r="H100" s="350" t="str">
        <f t="shared" si="34"/>
        <v>5</v>
      </c>
      <c r="I100" s="350" t="str">
        <f t="shared" si="34"/>
        <v>6</v>
      </c>
      <c r="J100" s="350" t="str">
        <f t="shared" si="34"/>
        <v>7</v>
      </c>
      <c r="K100" s="350" t="str">
        <f t="shared" si="34"/>
        <v>8</v>
      </c>
      <c r="L100" s="350" t="str">
        <f t="shared" si="34"/>
        <v>9</v>
      </c>
      <c r="M100" s="350" t="str">
        <f t="shared" si="34"/>
        <v>10</v>
      </c>
      <c r="N100" s="350" t="str">
        <f t="shared" si="34"/>
        <v>11</v>
      </c>
      <c r="O100" s="350" t="str">
        <f t="shared" si="34"/>
        <v>12</v>
      </c>
      <c r="P100" s="350" t="s">
        <v>115</v>
      </c>
      <c r="Q100" s="350" t="s">
        <v>116</v>
      </c>
    </row>
    <row r="101" spans="2:17" ht="19.5" thickTop="1">
      <c r="B101" s="348" t="s">
        <v>123</v>
      </c>
      <c r="C101" s="348"/>
      <c r="D101" s="154">
        <f>SUM(D102:D106)</f>
        <v>0</v>
      </c>
      <c r="E101" s="154">
        <f>SUM(E102:E106)</f>
        <v>0</v>
      </c>
      <c r="F101" s="154">
        <f>SUM(F102:F106)</f>
        <v>0</v>
      </c>
      <c r="G101" s="154">
        <f>SUM(G102:G106)</f>
        <v>0</v>
      </c>
      <c r="H101" s="154">
        <f>SUM(H102:H106)</f>
        <v>0</v>
      </c>
      <c r="I101" s="154">
        <f>SUM(I102:I106)</f>
        <v>0</v>
      </c>
      <c r="J101" s="154">
        <f>SUM(J102:J106)</f>
        <v>0</v>
      </c>
      <c r="K101" s="154">
        <f>SUM(K102:K106)</f>
        <v>0</v>
      </c>
      <c r="L101" s="154">
        <f>SUM(L102:L106)</f>
        <v>0</v>
      </c>
      <c r="M101" s="154">
        <f>SUM(M102:M106)</f>
        <v>0</v>
      </c>
      <c r="N101" s="154">
        <f>SUM(N102:N106)</f>
        <v>0</v>
      </c>
      <c r="O101" s="154">
        <f>SUM(O102:O106)</f>
        <v>0</v>
      </c>
      <c r="P101" s="154">
        <f>SUM(P102:P106)</f>
        <v>0</v>
      </c>
      <c r="Q101" s="154">
        <f>SUM(Q102:Q106)</f>
        <v>0</v>
      </c>
    </row>
    <row r="102" spans="2:17" ht="18.75">
      <c r="B102" s="334" t="s">
        <v>191</v>
      </c>
      <c r="C102" s="335"/>
      <c r="D102" s="147"/>
      <c r="E102" s="147"/>
      <c r="F102" s="147"/>
      <c r="G102" s="147"/>
      <c r="H102" s="147"/>
      <c r="I102" s="147"/>
      <c r="J102" s="147"/>
      <c r="K102" s="147"/>
      <c r="L102" s="147"/>
      <c r="M102" s="147"/>
      <c r="N102" s="147"/>
      <c r="O102" s="147"/>
      <c r="P102" s="148">
        <f>SUM(D102:O102)</f>
        <v>0</v>
      </c>
      <c r="Q102" s="148">
        <f>P102/COLUMNS(D102:O102)</f>
        <v>0</v>
      </c>
    </row>
    <row r="103" spans="2:17" ht="18.75">
      <c r="B103" s="334" t="s">
        <v>192</v>
      </c>
      <c r="C103" s="335"/>
      <c r="D103" s="147"/>
      <c r="E103" s="147"/>
      <c r="F103" s="147"/>
      <c r="G103" s="147"/>
      <c r="H103" s="147"/>
      <c r="I103" s="147"/>
      <c r="J103" s="147"/>
      <c r="K103" s="147"/>
      <c r="L103" s="147"/>
      <c r="M103" s="147"/>
      <c r="N103" s="147"/>
      <c r="O103" s="147"/>
      <c r="P103" s="148">
        <f t="shared" ref="P103:P106" si="35">SUM(D103:O103)</f>
        <v>0</v>
      </c>
      <c r="Q103" s="148">
        <f t="shared" ref="Q103:Q106" si="36">P103/COLUMNS(D103:O103)</f>
        <v>0</v>
      </c>
    </row>
    <row r="104" spans="2:17" ht="18.75">
      <c r="B104" s="334" t="s">
        <v>193</v>
      </c>
      <c r="C104" s="335"/>
      <c r="D104" s="147"/>
      <c r="E104" s="147"/>
      <c r="F104" s="147"/>
      <c r="G104" s="147"/>
      <c r="H104" s="147"/>
      <c r="I104" s="147"/>
      <c r="J104" s="147"/>
      <c r="K104" s="147"/>
      <c r="L104" s="147"/>
      <c r="M104" s="147"/>
      <c r="N104" s="147"/>
      <c r="O104" s="147"/>
      <c r="P104" s="148">
        <f t="shared" si="35"/>
        <v>0</v>
      </c>
      <c r="Q104" s="148">
        <f t="shared" si="36"/>
        <v>0</v>
      </c>
    </row>
    <row r="105" spans="2:17" ht="18.75">
      <c r="B105" s="334" t="s">
        <v>194</v>
      </c>
      <c r="C105" s="335"/>
      <c r="D105" s="147"/>
      <c r="E105" s="147"/>
      <c r="F105" s="147"/>
      <c r="G105" s="147"/>
      <c r="H105" s="147"/>
      <c r="I105" s="147"/>
      <c r="J105" s="147"/>
      <c r="K105" s="147"/>
      <c r="L105" s="147"/>
      <c r="M105" s="147"/>
      <c r="N105" s="147"/>
      <c r="O105" s="147"/>
      <c r="P105" s="148"/>
      <c r="Q105" s="148"/>
    </row>
    <row r="106" spans="2:17" ht="18.75">
      <c r="B106" s="333" t="s">
        <v>122</v>
      </c>
      <c r="C106" s="336"/>
      <c r="D106" s="147"/>
      <c r="E106" s="147"/>
      <c r="F106" s="147"/>
      <c r="G106" s="147"/>
      <c r="H106" s="147"/>
      <c r="I106" s="147"/>
      <c r="J106" s="147"/>
      <c r="K106" s="147"/>
      <c r="L106" s="147"/>
      <c r="M106" s="147"/>
      <c r="N106" s="147"/>
      <c r="O106" s="147"/>
      <c r="P106" s="148">
        <f t="shared" si="35"/>
        <v>0</v>
      </c>
      <c r="Q106" s="148">
        <f t="shared" si="36"/>
        <v>0</v>
      </c>
    </row>
    <row r="107" spans="2:17" ht="18.75">
      <c r="B107" s="330" t="s">
        <v>153</v>
      </c>
      <c r="C107" s="330"/>
      <c r="D107" s="155" t="str">
        <f>IF(D$6=0," - ",D101/D$6)</f>
        <v xml:space="preserve"> - </v>
      </c>
      <c r="E107" s="155" t="str">
        <f>IF(E$6=0," - ",E101/E$6)</f>
        <v xml:space="preserve"> - </v>
      </c>
      <c r="F107" s="155" t="str">
        <f>IF(F$6=0," - ",F101/F$6)</f>
        <v xml:space="preserve"> - </v>
      </c>
      <c r="G107" s="155" t="str">
        <f>IF(G$6=0," - ",G101/G$6)</f>
        <v xml:space="preserve"> - </v>
      </c>
      <c r="H107" s="155" t="str">
        <f>IF(H$6=0," - ",H101/H$6)</f>
        <v xml:space="preserve"> - </v>
      </c>
      <c r="I107" s="155" t="str">
        <f>IF(I$6=0," - ",I101/I$6)</f>
        <v xml:space="preserve"> - </v>
      </c>
      <c r="J107" s="155" t="str">
        <f>IF(J$6=0," - ",J101/J$6)</f>
        <v xml:space="preserve"> - </v>
      </c>
      <c r="K107" s="155" t="str">
        <f>IF(K$6=0," - ",K101/K$6)</f>
        <v xml:space="preserve"> - </v>
      </c>
      <c r="L107" s="155" t="str">
        <f>IF(L$6=0," - ",L101/L$6)</f>
        <v xml:space="preserve"> - </v>
      </c>
      <c r="M107" s="155" t="str">
        <f>IF(M$6=0," - ",M101/M$6)</f>
        <v xml:space="preserve"> - </v>
      </c>
      <c r="N107" s="155" t="str">
        <f>IF(N$6=0," - ",N101/N$6)</f>
        <v xml:space="preserve"> - </v>
      </c>
      <c r="O107" s="155" t="str">
        <f>IF(O$6=0," - ",O101/O$6)</f>
        <v xml:space="preserve"> - </v>
      </c>
      <c r="P107" s="155" t="str">
        <f>IF(P$6=0," - ",P101/P$6)</f>
        <v xml:space="preserve"> - </v>
      </c>
      <c r="Q107" s="155" t="str">
        <f>IF(Q$6=0," - ",Q101/Q$6)</f>
        <v xml:space="preserve"> - </v>
      </c>
    </row>
    <row r="108" spans="2:17" ht="18.75">
      <c r="B108" s="151"/>
      <c r="C108" s="151"/>
      <c r="D108" s="156"/>
      <c r="E108" s="156"/>
      <c r="F108" s="156"/>
      <c r="G108" s="156"/>
      <c r="H108" s="156"/>
      <c r="I108" s="156"/>
      <c r="J108" s="156"/>
      <c r="K108" s="156"/>
      <c r="L108" s="156"/>
      <c r="M108" s="156"/>
      <c r="N108" s="156"/>
      <c r="O108" s="156"/>
      <c r="P108" s="156"/>
      <c r="Q108" s="156"/>
    </row>
    <row r="109" spans="2:17" ht="19.5" thickBot="1">
      <c r="B109" s="331" t="s">
        <v>200</v>
      </c>
      <c r="C109" s="331"/>
      <c r="D109" s="153" t="str">
        <f>D$4</f>
        <v>1</v>
      </c>
      <c r="E109" s="153" t="str">
        <f t="shared" ref="E109:O109" si="37">E$4</f>
        <v>2</v>
      </c>
      <c r="F109" s="153" t="str">
        <f t="shared" si="37"/>
        <v>3</v>
      </c>
      <c r="G109" s="153" t="str">
        <f t="shared" si="37"/>
        <v>4</v>
      </c>
      <c r="H109" s="153" t="str">
        <f t="shared" si="37"/>
        <v>5</v>
      </c>
      <c r="I109" s="153" t="str">
        <f t="shared" si="37"/>
        <v>6</v>
      </c>
      <c r="J109" s="153" t="str">
        <f t="shared" si="37"/>
        <v>7</v>
      </c>
      <c r="K109" s="153" t="str">
        <f t="shared" si="37"/>
        <v>8</v>
      </c>
      <c r="L109" s="153" t="str">
        <f t="shared" si="37"/>
        <v>9</v>
      </c>
      <c r="M109" s="153" t="str">
        <f t="shared" si="37"/>
        <v>10</v>
      </c>
      <c r="N109" s="153" t="str">
        <f t="shared" si="37"/>
        <v>11</v>
      </c>
      <c r="O109" s="153" t="str">
        <f t="shared" si="37"/>
        <v>12</v>
      </c>
      <c r="P109" s="153" t="s">
        <v>115</v>
      </c>
      <c r="Q109" s="153" t="s">
        <v>116</v>
      </c>
    </row>
    <row r="110" spans="2:17" ht="19.5" thickTop="1">
      <c r="B110" s="332" t="s">
        <v>123</v>
      </c>
      <c r="C110" s="332"/>
      <c r="D110" s="154">
        <f>SUM(D111:D114)</f>
        <v>0</v>
      </c>
      <c r="E110" s="154">
        <f>SUM(E111:E114)</f>
        <v>0</v>
      </c>
      <c r="F110" s="154">
        <f>SUM(F111:F114)</f>
        <v>0</v>
      </c>
      <c r="G110" s="154">
        <f>SUM(G111:G114)</f>
        <v>0</v>
      </c>
      <c r="H110" s="154">
        <f>SUM(H111:H114)</f>
        <v>0</v>
      </c>
      <c r="I110" s="154">
        <f>SUM(I111:I114)</f>
        <v>0</v>
      </c>
      <c r="J110" s="154">
        <f>SUM(J111:J114)</f>
        <v>0</v>
      </c>
      <c r="K110" s="154">
        <f>SUM(K111:K114)</f>
        <v>0</v>
      </c>
      <c r="L110" s="154">
        <f>SUM(L111:L114)</f>
        <v>0</v>
      </c>
      <c r="M110" s="154">
        <f>SUM(M111:M114)</f>
        <v>0</v>
      </c>
      <c r="N110" s="154">
        <f>SUM(N111:N114)</f>
        <v>0</v>
      </c>
      <c r="O110" s="154">
        <f>SUM(O111:O114)</f>
        <v>0</v>
      </c>
      <c r="P110" s="154">
        <f>SUM(P111:P114)</f>
        <v>0</v>
      </c>
      <c r="Q110" s="154">
        <f>SUM(Q111:Q114)</f>
        <v>0</v>
      </c>
    </row>
    <row r="111" spans="2:17" ht="18.75">
      <c r="B111" s="334" t="s">
        <v>201</v>
      </c>
      <c r="C111" s="335"/>
      <c r="D111" s="147"/>
      <c r="E111" s="147"/>
      <c r="F111" s="147"/>
      <c r="G111" s="147"/>
      <c r="H111" s="147"/>
      <c r="I111" s="147"/>
      <c r="J111" s="147"/>
      <c r="K111" s="147"/>
      <c r="L111" s="147"/>
      <c r="M111" s="147"/>
      <c r="N111" s="147"/>
      <c r="O111" s="147"/>
      <c r="P111" s="148">
        <f>SUM(D111:O111)</f>
        <v>0</v>
      </c>
      <c r="Q111" s="148">
        <f>P111/COLUMNS(D111:O111)</f>
        <v>0</v>
      </c>
    </row>
    <row r="112" spans="2:17" ht="18.75">
      <c r="B112" s="334" t="s">
        <v>202</v>
      </c>
      <c r="C112" s="335"/>
      <c r="D112" s="147"/>
      <c r="E112" s="147"/>
      <c r="F112" s="147"/>
      <c r="G112" s="147"/>
      <c r="H112" s="147"/>
      <c r="I112" s="147"/>
      <c r="J112" s="147"/>
      <c r="K112" s="147"/>
      <c r="L112" s="147"/>
      <c r="M112" s="147"/>
      <c r="N112" s="147"/>
      <c r="O112" s="147"/>
      <c r="P112" s="148">
        <f t="shared" ref="P112:P114" si="38">SUM(D112:O112)</f>
        <v>0</v>
      </c>
      <c r="Q112" s="148">
        <f t="shared" ref="Q112:Q114" si="39">P112/COLUMNS(D112:O112)</f>
        <v>0</v>
      </c>
    </row>
    <row r="113" spans="2:17" ht="18.75">
      <c r="B113" s="334" t="s">
        <v>203</v>
      </c>
      <c r="C113" s="335"/>
      <c r="D113" s="147"/>
      <c r="E113" s="147"/>
      <c r="F113" s="147"/>
      <c r="G113" s="147"/>
      <c r="H113" s="147"/>
      <c r="I113" s="147"/>
      <c r="J113" s="147"/>
      <c r="K113" s="147"/>
      <c r="L113" s="147"/>
      <c r="M113" s="147"/>
      <c r="N113" s="147"/>
      <c r="O113" s="147"/>
      <c r="P113" s="148">
        <f t="shared" si="38"/>
        <v>0</v>
      </c>
      <c r="Q113" s="148">
        <f t="shared" si="39"/>
        <v>0</v>
      </c>
    </row>
    <row r="114" spans="2:17" ht="18.75">
      <c r="B114" s="333" t="s">
        <v>204</v>
      </c>
      <c r="C114" s="336"/>
      <c r="D114" s="147"/>
      <c r="E114" s="147"/>
      <c r="F114" s="147"/>
      <c r="G114" s="147"/>
      <c r="H114" s="147"/>
      <c r="I114" s="147"/>
      <c r="J114" s="147"/>
      <c r="K114" s="147"/>
      <c r="L114" s="147"/>
      <c r="M114" s="147"/>
      <c r="N114" s="147"/>
      <c r="O114" s="147"/>
      <c r="P114" s="148">
        <f t="shared" si="38"/>
        <v>0</v>
      </c>
      <c r="Q114" s="148">
        <f t="shared" si="39"/>
        <v>0</v>
      </c>
    </row>
    <row r="115" spans="2:17" ht="18.75">
      <c r="B115" s="330" t="s">
        <v>153</v>
      </c>
      <c r="C115" s="330"/>
      <c r="D115" s="155" t="str">
        <f>IF(D$6=0," - ",D110/D$6)</f>
        <v xml:space="preserve"> - </v>
      </c>
      <c r="E115" s="155" t="str">
        <f>IF(E$6=0," - ",E110/E$6)</f>
        <v xml:space="preserve"> - </v>
      </c>
      <c r="F115" s="155" t="str">
        <f>IF(F$6=0," - ",F110/F$6)</f>
        <v xml:space="preserve"> - </v>
      </c>
      <c r="G115" s="155" t="str">
        <f>IF(G$6=0," - ",G110/G$6)</f>
        <v xml:space="preserve"> - </v>
      </c>
      <c r="H115" s="155" t="str">
        <f>IF(H$6=0," - ",H110/H$6)</f>
        <v xml:space="preserve"> - </v>
      </c>
      <c r="I115" s="155" t="str">
        <f>IF(I$6=0," - ",I110/I$6)</f>
        <v xml:space="preserve"> - </v>
      </c>
      <c r="J115" s="155" t="str">
        <f>IF(J$6=0," - ",J110/J$6)</f>
        <v xml:space="preserve"> - </v>
      </c>
      <c r="K115" s="155" t="str">
        <f>IF(K$6=0," - ",K110/K$6)</f>
        <v xml:space="preserve"> - </v>
      </c>
      <c r="L115" s="155" t="str">
        <f>IF(L$6=0," - ",L110/L$6)</f>
        <v xml:space="preserve"> - </v>
      </c>
      <c r="M115" s="155" t="str">
        <f>IF(M$6=0," - ",M110/M$6)</f>
        <v xml:space="preserve"> - </v>
      </c>
      <c r="N115" s="155" t="str">
        <f>IF(N$6=0," - ",N110/N$6)</f>
        <v xml:space="preserve"> - </v>
      </c>
      <c r="O115" s="155" t="str">
        <f>IF(O$6=0," - ",O110/O$6)</f>
        <v xml:space="preserve"> - </v>
      </c>
      <c r="P115" s="155" t="str">
        <f>IF(P$6=0," - ",P110/P$6)</f>
        <v xml:space="preserve"> - </v>
      </c>
      <c r="Q115" s="155" t="str">
        <f>IF(Q$6=0," - ",Q110/Q$6)</f>
        <v xml:space="preserve"> - </v>
      </c>
    </row>
    <row r="116" spans="2:17" ht="18.75">
      <c r="B116" s="157"/>
      <c r="C116" s="157"/>
      <c r="D116" s="156"/>
      <c r="E116" s="156"/>
      <c r="F116" s="156"/>
      <c r="G116" s="156"/>
      <c r="H116" s="156"/>
      <c r="I116" s="156"/>
      <c r="J116" s="156"/>
      <c r="K116" s="156"/>
      <c r="L116" s="156"/>
      <c r="M116" s="156"/>
      <c r="N116" s="156"/>
      <c r="O116" s="156"/>
      <c r="P116" s="156"/>
      <c r="Q116" s="156"/>
    </row>
    <row r="117" spans="2:17" ht="19.5" thickBot="1">
      <c r="B117" s="331" t="s">
        <v>205</v>
      </c>
      <c r="C117" s="331"/>
      <c r="D117" s="153" t="str">
        <f>D$4</f>
        <v>1</v>
      </c>
      <c r="E117" s="153" t="str">
        <f t="shared" ref="E117:O117" si="40">E$4</f>
        <v>2</v>
      </c>
      <c r="F117" s="153" t="str">
        <f t="shared" si="40"/>
        <v>3</v>
      </c>
      <c r="G117" s="153" t="str">
        <f t="shared" si="40"/>
        <v>4</v>
      </c>
      <c r="H117" s="153" t="str">
        <f t="shared" si="40"/>
        <v>5</v>
      </c>
      <c r="I117" s="153" t="str">
        <f t="shared" si="40"/>
        <v>6</v>
      </c>
      <c r="J117" s="153" t="str">
        <f t="shared" si="40"/>
        <v>7</v>
      </c>
      <c r="K117" s="153" t="str">
        <f t="shared" si="40"/>
        <v>8</v>
      </c>
      <c r="L117" s="153" t="str">
        <f t="shared" si="40"/>
        <v>9</v>
      </c>
      <c r="M117" s="153" t="str">
        <f t="shared" si="40"/>
        <v>10</v>
      </c>
      <c r="N117" s="153" t="str">
        <f t="shared" si="40"/>
        <v>11</v>
      </c>
      <c r="O117" s="153" t="str">
        <f t="shared" si="40"/>
        <v>12</v>
      </c>
      <c r="P117" s="153" t="s">
        <v>115</v>
      </c>
      <c r="Q117" s="153" t="s">
        <v>116</v>
      </c>
    </row>
    <row r="118" spans="2:17" ht="19.5" thickTop="1">
      <c r="B118" s="332" t="s">
        <v>123</v>
      </c>
      <c r="C118" s="332"/>
      <c r="D118" s="154">
        <f>SUM(D119:D126)</f>
        <v>0</v>
      </c>
      <c r="E118" s="154">
        <f>SUM(E119:E126)</f>
        <v>0</v>
      </c>
      <c r="F118" s="154">
        <f>SUM(F119:F126)</f>
        <v>0</v>
      </c>
      <c r="G118" s="154">
        <f>SUM(G119:G126)</f>
        <v>0</v>
      </c>
      <c r="H118" s="154">
        <f>SUM(H119:H126)</f>
        <v>0</v>
      </c>
      <c r="I118" s="154">
        <f>SUM(I119:I126)</f>
        <v>0</v>
      </c>
      <c r="J118" s="154">
        <f>SUM(J119:J126)</f>
        <v>0</v>
      </c>
      <c r="K118" s="154">
        <f>SUM(K119:K126)</f>
        <v>0</v>
      </c>
      <c r="L118" s="154">
        <f>SUM(L119:L126)</f>
        <v>0</v>
      </c>
      <c r="M118" s="154">
        <f>SUM(M119:M126)</f>
        <v>0</v>
      </c>
      <c r="N118" s="154">
        <f>SUM(N119:N126)</f>
        <v>0</v>
      </c>
      <c r="O118" s="154">
        <f>SUM(O119:O126)</f>
        <v>0</v>
      </c>
      <c r="P118" s="154">
        <f>SUM(P119:P126)</f>
        <v>0</v>
      </c>
      <c r="Q118" s="154">
        <f>SUM(Q119:Q126)</f>
        <v>0</v>
      </c>
    </row>
    <row r="119" spans="2:17" ht="18.75">
      <c r="B119" s="334" t="s">
        <v>202</v>
      </c>
      <c r="C119" s="335"/>
      <c r="D119" s="147"/>
      <c r="E119" s="147"/>
      <c r="F119" s="147"/>
      <c r="G119" s="147"/>
      <c r="H119" s="147"/>
      <c r="I119" s="147"/>
      <c r="J119" s="147"/>
      <c r="K119" s="147"/>
      <c r="L119" s="147"/>
      <c r="M119" s="147"/>
      <c r="N119" s="147"/>
      <c r="O119" s="147"/>
      <c r="P119" s="148">
        <f t="shared" ref="P119" si="41">SUM(D119:O119)</f>
        <v>0</v>
      </c>
      <c r="Q119" s="148">
        <f t="shared" ref="Q119:Q126" si="42">P119/COLUMNS(D119:O119)</f>
        <v>0</v>
      </c>
    </row>
    <row r="120" spans="2:17" ht="18.75">
      <c r="B120" s="334" t="s">
        <v>206</v>
      </c>
      <c r="C120" s="335"/>
      <c r="D120" s="147"/>
      <c r="E120" s="147"/>
      <c r="F120" s="147"/>
      <c r="G120" s="147"/>
      <c r="H120" s="147"/>
      <c r="I120" s="147"/>
      <c r="J120" s="147"/>
      <c r="K120" s="147"/>
      <c r="L120" s="147"/>
      <c r="M120" s="147"/>
      <c r="N120" s="147"/>
      <c r="O120" s="147"/>
      <c r="P120" s="148"/>
      <c r="Q120" s="148"/>
    </row>
    <row r="121" spans="2:17" ht="18.75">
      <c r="B121" s="334" t="s">
        <v>173</v>
      </c>
      <c r="C121" s="335"/>
      <c r="D121" s="147"/>
      <c r="E121" s="147"/>
      <c r="F121" s="147"/>
      <c r="G121" s="147"/>
      <c r="H121" s="147"/>
      <c r="I121" s="147"/>
      <c r="J121" s="147"/>
      <c r="K121" s="147"/>
      <c r="L121" s="147"/>
      <c r="M121" s="147"/>
      <c r="N121" s="147"/>
      <c r="O121" s="147"/>
      <c r="P121" s="148"/>
      <c r="Q121" s="148"/>
    </row>
    <row r="122" spans="2:17" ht="18.75">
      <c r="B122" s="334" t="s">
        <v>207</v>
      </c>
      <c r="C122" s="335"/>
      <c r="D122" s="147"/>
      <c r="E122" s="147"/>
      <c r="F122" s="147"/>
      <c r="G122" s="147"/>
      <c r="H122" s="147"/>
      <c r="I122" s="147"/>
      <c r="J122" s="147"/>
      <c r="K122" s="147"/>
      <c r="L122" s="147"/>
      <c r="M122" s="147"/>
      <c r="N122" s="147"/>
      <c r="O122" s="147"/>
      <c r="P122" s="148"/>
      <c r="Q122" s="148"/>
    </row>
    <row r="123" spans="2:17" ht="18.75">
      <c r="B123" s="334" t="s">
        <v>208</v>
      </c>
      <c r="C123" s="335"/>
      <c r="D123" s="147"/>
      <c r="E123" s="147"/>
      <c r="F123" s="147"/>
      <c r="G123" s="147"/>
      <c r="H123" s="147"/>
      <c r="I123" s="147"/>
      <c r="J123" s="147"/>
      <c r="K123" s="147"/>
      <c r="L123" s="147"/>
      <c r="M123" s="147"/>
      <c r="N123" s="147"/>
      <c r="O123" s="147"/>
      <c r="P123" s="148"/>
      <c r="Q123" s="148"/>
    </row>
    <row r="124" spans="2:17" ht="18.75">
      <c r="B124" s="334" t="s">
        <v>209</v>
      </c>
      <c r="C124" s="335"/>
      <c r="D124" s="147"/>
      <c r="E124" s="147"/>
      <c r="F124" s="147"/>
      <c r="G124" s="147"/>
      <c r="H124" s="147"/>
      <c r="I124" s="147"/>
      <c r="J124" s="147"/>
      <c r="K124" s="147"/>
      <c r="L124" s="147"/>
      <c r="M124" s="147"/>
      <c r="N124" s="147"/>
      <c r="O124" s="147"/>
      <c r="P124" s="148"/>
      <c r="Q124" s="148"/>
    </row>
    <row r="125" spans="2:17" ht="18.75">
      <c r="B125" s="334" t="s">
        <v>178</v>
      </c>
      <c r="C125" s="335"/>
      <c r="D125" s="147"/>
      <c r="E125" s="147"/>
      <c r="F125" s="147"/>
      <c r="G125" s="147"/>
      <c r="H125" s="147"/>
      <c r="I125" s="147"/>
      <c r="J125" s="147"/>
      <c r="K125" s="147"/>
      <c r="L125" s="147"/>
      <c r="M125" s="147"/>
      <c r="N125" s="147"/>
      <c r="O125" s="147"/>
      <c r="P125" s="148"/>
      <c r="Q125" s="148"/>
    </row>
    <row r="126" spans="2:17" ht="18.75">
      <c r="B126" s="333" t="s">
        <v>122</v>
      </c>
      <c r="C126" s="336"/>
      <c r="D126" s="147"/>
      <c r="E126" s="147"/>
      <c r="F126" s="147"/>
      <c r="G126" s="147"/>
      <c r="H126" s="147"/>
      <c r="I126" s="147"/>
      <c r="J126" s="147"/>
      <c r="K126" s="147"/>
      <c r="L126" s="147"/>
      <c r="M126" s="147"/>
      <c r="N126" s="147"/>
      <c r="O126" s="147"/>
      <c r="P126" s="148">
        <f t="shared" ref="P126" si="43">SUM(D126:O126)</f>
        <v>0</v>
      </c>
      <c r="Q126" s="148">
        <f t="shared" si="42"/>
        <v>0</v>
      </c>
    </row>
    <row r="127" spans="2:17" ht="18.75">
      <c r="B127" s="330" t="s">
        <v>153</v>
      </c>
      <c r="C127" s="330"/>
      <c r="D127" s="155" t="str">
        <f>IF(D$6=0," - ",D118/D$6)</f>
        <v xml:space="preserve"> - </v>
      </c>
      <c r="E127" s="155" t="str">
        <f>IF(E$6=0," - ",E118/E$6)</f>
        <v xml:space="preserve"> - </v>
      </c>
      <c r="F127" s="155" t="str">
        <f>IF(F$6=0," - ",F118/F$6)</f>
        <v xml:space="preserve"> - </v>
      </c>
      <c r="G127" s="155" t="str">
        <f>IF(G$6=0," - ",G118/G$6)</f>
        <v xml:space="preserve"> - </v>
      </c>
      <c r="H127" s="155" t="str">
        <f>IF(H$6=0," - ",H118/H$6)</f>
        <v xml:space="preserve"> - </v>
      </c>
      <c r="I127" s="155" t="str">
        <f>IF(I$6=0," - ",I118/I$6)</f>
        <v xml:space="preserve"> - </v>
      </c>
      <c r="J127" s="155" t="str">
        <f>IF(J$6=0," - ",J118/J$6)</f>
        <v xml:space="preserve"> - </v>
      </c>
      <c r="K127" s="155" t="str">
        <f>IF(K$6=0," - ",K118/K$6)</f>
        <v xml:space="preserve"> - </v>
      </c>
      <c r="L127" s="155" t="str">
        <f>IF(L$6=0," - ",L118/L$6)</f>
        <v xml:space="preserve"> - </v>
      </c>
      <c r="M127" s="155" t="str">
        <f>IF(M$6=0," - ",M118/M$6)</f>
        <v xml:space="preserve"> - </v>
      </c>
      <c r="N127" s="155" t="str">
        <f>IF(N$6=0," - ",N118/N$6)</f>
        <v xml:space="preserve"> - </v>
      </c>
      <c r="O127" s="155" t="str">
        <f>IF(O$6=0," - ",O118/O$6)</f>
        <v xml:space="preserve"> - </v>
      </c>
      <c r="P127" s="155" t="str">
        <f>IF(P$6=0," - ",P118/P$6)</f>
        <v xml:space="preserve"> - </v>
      </c>
      <c r="Q127" s="155" t="str">
        <f>IF(Q$6=0," - ",Q118/Q$6)</f>
        <v xml:space="preserve"> - </v>
      </c>
    </row>
    <row r="128" spans="2:17" ht="18.75">
      <c r="B128" s="157"/>
      <c r="C128" s="157"/>
      <c r="D128" s="156"/>
      <c r="E128" s="156"/>
      <c r="F128" s="156"/>
      <c r="G128" s="156"/>
      <c r="H128" s="156"/>
      <c r="I128" s="156"/>
      <c r="J128" s="156"/>
      <c r="K128" s="156"/>
      <c r="L128" s="156"/>
      <c r="M128" s="156"/>
      <c r="N128" s="156"/>
      <c r="O128" s="156"/>
      <c r="P128" s="156"/>
      <c r="Q128" s="156"/>
    </row>
    <row r="129" spans="2:17" ht="19.5" thickBot="1">
      <c r="B129" s="331" t="s">
        <v>216</v>
      </c>
      <c r="C129" s="331"/>
      <c r="D129" s="153" t="str">
        <f>D$4</f>
        <v>1</v>
      </c>
      <c r="E129" s="153" t="str">
        <f t="shared" ref="E129:O129" si="44">E$4</f>
        <v>2</v>
      </c>
      <c r="F129" s="153" t="str">
        <f t="shared" si="44"/>
        <v>3</v>
      </c>
      <c r="G129" s="153" t="str">
        <f t="shared" si="44"/>
        <v>4</v>
      </c>
      <c r="H129" s="153" t="str">
        <f t="shared" si="44"/>
        <v>5</v>
      </c>
      <c r="I129" s="153" t="str">
        <f t="shared" si="44"/>
        <v>6</v>
      </c>
      <c r="J129" s="153" t="str">
        <f t="shared" si="44"/>
        <v>7</v>
      </c>
      <c r="K129" s="153" t="str">
        <f t="shared" si="44"/>
        <v>8</v>
      </c>
      <c r="L129" s="153" t="str">
        <f t="shared" si="44"/>
        <v>9</v>
      </c>
      <c r="M129" s="153" t="str">
        <f t="shared" si="44"/>
        <v>10</v>
      </c>
      <c r="N129" s="153" t="str">
        <f t="shared" si="44"/>
        <v>11</v>
      </c>
      <c r="O129" s="153" t="str">
        <f t="shared" si="44"/>
        <v>12</v>
      </c>
      <c r="P129" s="153" t="s">
        <v>115</v>
      </c>
      <c r="Q129" s="153" t="s">
        <v>116</v>
      </c>
    </row>
    <row r="130" spans="2:17" ht="19.5" thickTop="1">
      <c r="B130" s="332" t="s">
        <v>123</v>
      </c>
      <c r="C130" s="332"/>
      <c r="D130" s="154">
        <f>SUM(D131:D131)</f>
        <v>0</v>
      </c>
      <c r="E130" s="154">
        <f>SUM(E131:E131)</f>
        <v>0</v>
      </c>
      <c r="F130" s="154">
        <f>SUM(F131:F131)</f>
        <v>0</v>
      </c>
      <c r="G130" s="154">
        <f>SUM(G131:G131)</f>
        <v>0</v>
      </c>
      <c r="H130" s="154">
        <f>SUM(H131:H131)</f>
        <v>0</v>
      </c>
      <c r="I130" s="154">
        <f>SUM(I131:I131)</f>
        <v>0</v>
      </c>
      <c r="J130" s="154">
        <f>SUM(J131:J131)</f>
        <v>0</v>
      </c>
      <c r="K130" s="154">
        <f>SUM(K131:K131)</f>
        <v>0</v>
      </c>
      <c r="L130" s="154">
        <f>SUM(L131:L131)</f>
        <v>0</v>
      </c>
      <c r="M130" s="154">
        <f>SUM(M131:M131)</f>
        <v>0</v>
      </c>
      <c r="N130" s="154">
        <f>SUM(N131:N131)</f>
        <v>0</v>
      </c>
      <c r="O130" s="154">
        <f>SUM(O131:O131)</f>
        <v>0</v>
      </c>
      <c r="P130" s="154">
        <f>SUM(P131:P131)</f>
        <v>0</v>
      </c>
      <c r="Q130" s="154">
        <f>SUM(Q131:Q131)</f>
        <v>0</v>
      </c>
    </row>
    <row r="131" spans="2:17" ht="18.75">
      <c r="B131" s="333"/>
      <c r="C131" s="336"/>
      <c r="D131" s="147"/>
      <c r="E131" s="147"/>
      <c r="F131" s="147"/>
      <c r="G131" s="147"/>
      <c r="H131" s="147"/>
      <c r="I131" s="147"/>
      <c r="J131" s="147"/>
      <c r="K131" s="147"/>
      <c r="L131" s="147"/>
      <c r="M131" s="147"/>
      <c r="N131" s="147"/>
      <c r="O131" s="147"/>
      <c r="P131" s="148">
        <f t="shared" ref="P131" si="45">SUM(D131:O131)</f>
        <v>0</v>
      </c>
      <c r="Q131" s="148">
        <f t="shared" ref="Q131" si="46">P131/COLUMNS(D131:O131)</f>
        <v>0</v>
      </c>
    </row>
    <row r="132" spans="2:17" ht="18.75">
      <c r="B132" s="330" t="s">
        <v>153</v>
      </c>
      <c r="C132" s="330"/>
      <c r="D132" s="155" t="str">
        <f>IF(D$6=0," - ",D130/D$6)</f>
        <v xml:space="preserve"> - </v>
      </c>
      <c r="E132" s="155" t="str">
        <f>IF(E$6=0," - ",E130/E$6)</f>
        <v xml:space="preserve"> - </v>
      </c>
      <c r="F132" s="155" t="str">
        <f>IF(F$6=0," - ",F130/F$6)</f>
        <v xml:space="preserve"> - </v>
      </c>
      <c r="G132" s="155" t="str">
        <f>IF(G$6=0," - ",G130/G$6)</f>
        <v xml:space="preserve"> - </v>
      </c>
      <c r="H132" s="155" t="str">
        <f>IF(H$6=0," - ",H130/H$6)</f>
        <v xml:space="preserve"> - </v>
      </c>
      <c r="I132" s="155" t="str">
        <f>IF(I$6=0," - ",I130/I$6)</f>
        <v xml:space="preserve"> - </v>
      </c>
      <c r="J132" s="155" t="str">
        <f>IF(J$6=0," - ",J130/J$6)</f>
        <v xml:space="preserve"> - </v>
      </c>
      <c r="K132" s="155" t="str">
        <f>IF(K$6=0," - ",K130/K$6)</f>
        <v xml:space="preserve"> - </v>
      </c>
      <c r="L132" s="155" t="str">
        <f>IF(L$6=0," - ",L130/L$6)</f>
        <v xml:space="preserve"> - </v>
      </c>
      <c r="M132" s="155" t="str">
        <f>IF(M$6=0," - ",M130/M$6)</f>
        <v xml:space="preserve"> - </v>
      </c>
      <c r="N132" s="155" t="str">
        <f>IF(N$6=0," - ",N130/N$6)</f>
        <v xml:space="preserve"> - </v>
      </c>
      <c r="O132" s="155" t="str">
        <f>IF(O$6=0," - ",O130/O$6)</f>
        <v xml:space="preserve"> - </v>
      </c>
      <c r="P132" s="155" t="str">
        <f>IF(P$6=0," - ",P130/P$6)</f>
        <v xml:space="preserve"> - </v>
      </c>
      <c r="Q132" s="155" t="str">
        <f>IF(Q$6=0," - ",Q130/Q$6)</f>
        <v xml:space="preserve"> - </v>
      </c>
    </row>
  </sheetData>
  <mergeCells count="121">
    <mergeCell ref="H61:I61"/>
    <mergeCell ref="J61:K61"/>
    <mergeCell ref="L61:M61"/>
    <mergeCell ref="N61:O61"/>
    <mergeCell ref="B130:C130"/>
    <mergeCell ref="B131:C131"/>
    <mergeCell ref="B132:C132"/>
    <mergeCell ref="D61:E61"/>
    <mergeCell ref="F61:G61"/>
    <mergeCell ref="B63:C63"/>
    <mergeCell ref="B64:C64"/>
    <mergeCell ref="B65:C65"/>
    <mergeCell ref="B66:C66"/>
    <mergeCell ref="B129:C129"/>
    <mergeCell ref="B48:C48"/>
    <mergeCell ref="B49:C49"/>
    <mergeCell ref="B50:C50"/>
    <mergeCell ref="B61:C61"/>
    <mergeCell ref="B62:C62"/>
    <mergeCell ref="B127:C127"/>
    <mergeCell ref="B44:C44"/>
    <mergeCell ref="B45:C45"/>
    <mergeCell ref="B46:C46"/>
    <mergeCell ref="B47:C47"/>
    <mergeCell ref="B122:C122"/>
    <mergeCell ref="B123:C123"/>
    <mergeCell ref="B124:C124"/>
    <mergeCell ref="B125:C125"/>
    <mergeCell ref="B126:C126"/>
    <mergeCell ref="B117:C117"/>
    <mergeCell ref="B118:C118"/>
    <mergeCell ref="B119:C119"/>
    <mergeCell ref="B120:C120"/>
    <mergeCell ref="B121:C121"/>
    <mergeCell ref="B111:C111"/>
    <mergeCell ref="B112:C112"/>
    <mergeCell ref="B113:C113"/>
    <mergeCell ref="B114:C114"/>
    <mergeCell ref="B115:C115"/>
    <mergeCell ref="B57:C57"/>
    <mergeCell ref="B58:C58"/>
    <mergeCell ref="B59:C59"/>
    <mergeCell ref="B109:C109"/>
    <mergeCell ref="B110:C110"/>
    <mergeCell ref="B52:C52"/>
    <mergeCell ref="B53:C53"/>
    <mergeCell ref="B54:C54"/>
    <mergeCell ref="B55:C55"/>
    <mergeCell ref="B56:C56"/>
    <mergeCell ref="B103:C103"/>
    <mergeCell ref="B104:C104"/>
    <mergeCell ref="B105:C105"/>
    <mergeCell ref="B106:C106"/>
    <mergeCell ref="B107:C107"/>
    <mergeCell ref="B96:C96"/>
    <mergeCell ref="B97:C97"/>
    <mergeCell ref="B100:C100"/>
    <mergeCell ref="B101:C101"/>
    <mergeCell ref="B102:C102"/>
    <mergeCell ref="B91:C91"/>
    <mergeCell ref="B92:C92"/>
    <mergeCell ref="B93:C93"/>
    <mergeCell ref="B94:C94"/>
    <mergeCell ref="B95:C95"/>
    <mergeCell ref="B85:C85"/>
    <mergeCell ref="B86:C86"/>
    <mergeCell ref="B87:C87"/>
    <mergeCell ref="B88:C88"/>
    <mergeCell ref="B89:C89"/>
    <mergeCell ref="B80:C80"/>
    <mergeCell ref="B81:C81"/>
    <mergeCell ref="B82:C82"/>
    <mergeCell ref="B83:C83"/>
    <mergeCell ref="B84:C84"/>
    <mergeCell ref="B74:C74"/>
    <mergeCell ref="B76:C76"/>
    <mergeCell ref="B77:C77"/>
    <mergeCell ref="B78:C78"/>
    <mergeCell ref="B79:C79"/>
    <mergeCell ref="B36:C36"/>
    <mergeCell ref="B70:C70"/>
    <mergeCell ref="B69:C69"/>
    <mergeCell ref="B71:C71"/>
    <mergeCell ref="B72:C72"/>
    <mergeCell ref="B73:C73"/>
    <mergeCell ref="B37:C37"/>
    <mergeCell ref="B38:C38"/>
    <mergeCell ref="B39:C39"/>
    <mergeCell ref="B40:C40"/>
    <mergeCell ref="B41:C41"/>
    <mergeCell ref="B42:C42"/>
    <mergeCell ref="B68:C68"/>
    <mergeCell ref="B2:Q2"/>
    <mergeCell ref="B4:C4"/>
    <mergeCell ref="B5:C5"/>
    <mergeCell ref="B6:C6"/>
    <mergeCell ref="B7:C7"/>
    <mergeCell ref="B9:C9"/>
    <mergeCell ref="B11:C11"/>
    <mergeCell ref="B12:C12"/>
    <mergeCell ref="B13:C13"/>
    <mergeCell ref="B15:C15"/>
    <mergeCell ref="B16:C16"/>
    <mergeCell ref="B18:C18"/>
    <mergeCell ref="B20:C20"/>
    <mergeCell ref="B10:C10"/>
    <mergeCell ref="B17:C17"/>
    <mergeCell ref="B22:C22"/>
    <mergeCell ref="B23:C23"/>
    <mergeCell ref="B25:C25"/>
    <mergeCell ref="B27:C27"/>
    <mergeCell ref="B19:C19"/>
    <mergeCell ref="B24:C24"/>
    <mergeCell ref="B35:C35"/>
    <mergeCell ref="B28:C28"/>
    <mergeCell ref="B29:C29"/>
    <mergeCell ref="B30:C30"/>
    <mergeCell ref="B31:C31"/>
    <mergeCell ref="B32:C32"/>
    <mergeCell ref="B26:C26"/>
    <mergeCell ref="B34:C34"/>
  </mergeCells>
  <phoneticPr fontId="29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P46"/>
  <sheetViews>
    <sheetView zoomScaleNormal="100" zoomScaleSheetLayoutView="100" workbookViewId="0">
      <selection activeCell="F31" sqref="F31"/>
    </sheetView>
  </sheetViews>
  <sheetFormatPr defaultColWidth="9" defaultRowHeight="15.75"/>
  <cols>
    <col min="1" max="1" width="6.5" style="4" bestFit="1" customWidth="1"/>
    <col min="2" max="2" width="7.25" style="4" bestFit="1" customWidth="1"/>
    <col min="3" max="3" width="11.375" style="4" bestFit="1" customWidth="1"/>
    <col min="4" max="4" width="11.875" style="4" bestFit="1" customWidth="1"/>
    <col min="5" max="5" width="11.375" style="4" bestFit="1" customWidth="1"/>
    <col min="6" max="6" width="8.625" style="4" bestFit="1" customWidth="1"/>
    <col min="7" max="7" width="8.875" style="4" bestFit="1" customWidth="1"/>
    <col min="8" max="8" width="6.5" style="4" bestFit="1" customWidth="1"/>
    <col min="9" max="9" width="14" style="4" bestFit="1" customWidth="1"/>
    <col min="10" max="10" width="6.5" style="4" bestFit="1" customWidth="1"/>
    <col min="11" max="11" width="13.75" style="4" bestFit="1" customWidth="1"/>
    <col min="12" max="12" width="7.75" style="4" bestFit="1" customWidth="1"/>
    <col min="13" max="13" width="11.375" style="4" bestFit="1" customWidth="1"/>
    <col min="14" max="16" width="6.5" style="4" bestFit="1" customWidth="1"/>
    <col min="17" max="16384" width="9" style="4"/>
  </cols>
  <sheetData>
    <row r="1" spans="1:16">
      <c r="A1" s="9" t="s">
        <v>240</v>
      </c>
      <c r="B1" s="9" t="s">
        <v>241</v>
      </c>
      <c r="C1" s="9" t="s">
        <v>242</v>
      </c>
      <c r="D1" s="9" t="s">
        <v>243</v>
      </c>
      <c r="E1" s="9" t="s">
        <v>244</v>
      </c>
      <c r="F1" s="9" t="s">
        <v>245</v>
      </c>
      <c r="G1" s="9" t="s">
        <v>246</v>
      </c>
      <c r="H1" s="9" t="s">
        <v>247</v>
      </c>
      <c r="I1" s="9" t="s">
        <v>248</v>
      </c>
      <c r="J1" s="9" t="s">
        <v>249</v>
      </c>
      <c r="K1" s="9" t="s">
        <v>250</v>
      </c>
      <c r="L1" s="9" t="s">
        <v>251</v>
      </c>
      <c r="M1" s="9" t="s">
        <v>252</v>
      </c>
      <c r="N1" s="9" t="s">
        <v>253</v>
      </c>
      <c r="O1" s="9" t="s">
        <v>254</v>
      </c>
      <c r="P1" s="9" t="s">
        <v>255</v>
      </c>
    </row>
    <row r="2" spans="1:16">
      <c r="A2" s="9" t="s">
        <v>256</v>
      </c>
      <c r="B2" s="9" t="s">
        <v>257</v>
      </c>
      <c r="C2" s="9" t="s">
        <v>258</v>
      </c>
      <c r="D2" s="9" t="s">
        <v>259</v>
      </c>
      <c r="E2" s="9" t="s">
        <v>117</v>
      </c>
      <c r="F2" s="9">
        <v>71244</v>
      </c>
      <c r="G2" s="9">
        <v>0</v>
      </c>
      <c r="H2" s="9">
        <v>0</v>
      </c>
      <c r="I2" s="9"/>
      <c r="J2" s="9"/>
      <c r="K2" s="10">
        <v>45839</v>
      </c>
      <c r="L2" s="11">
        <v>0.77500000000000002</v>
      </c>
      <c r="M2" s="9"/>
      <c r="N2" s="9"/>
      <c r="O2" s="9"/>
      <c r="P2" s="9"/>
    </row>
    <row r="3" spans="1:16">
      <c r="A3" s="9" t="s">
        <v>256</v>
      </c>
      <c r="B3" s="9" t="s">
        <v>257</v>
      </c>
      <c r="C3" s="9" t="s">
        <v>260</v>
      </c>
      <c r="D3" s="9" t="s">
        <v>261</v>
      </c>
      <c r="E3" s="9" t="s">
        <v>262</v>
      </c>
      <c r="F3" s="9">
        <v>-10000</v>
      </c>
      <c r="G3" s="9">
        <v>0</v>
      </c>
      <c r="H3" s="9">
        <v>0</v>
      </c>
      <c r="I3" s="9"/>
      <c r="J3" s="9"/>
      <c r="K3" s="10">
        <v>45839</v>
      </c>
      <c r="L3" s="11">
        <v>0.77500000000000002</v>
      </c>
      <c r="M3" s="9"/>
      <c r="N3" s="9"/>
      <c r="O3" s="9"/>
      <c r="P3" s="9"/>
    </row>
    <row r="4" spans="1:16">
      <c r="A4" s="9" t="s">
        <v>256</v>
      </c>
      <c r="B4" s="9" t="s">
        <v>257</v>
      </c>
      <c r="C4" s="9" t="s">
        <v>260</v>
      </c>
      <c r="D4" s="9" t="s">
        <v>263</v>
      </c>
      <c r="E4" s="9" t="s">
        <v>264</v>
      </c>
      <c r="F4" s="9">
        <v>-250</v>
      </c>
      <c r="G4" s="9">
        <v>0</v>
      </c>
      <c r="H4" s="9">
        <v>0</v>
      </c>
      <c r="I4" s="9"/>
      <c r="J4" s="9"/>
      <c r="K4" s="10">
        <v>45841</v>
      </c>
      <c r="L4" s="11">
        <v>0.62430555555555556</v>
      </c>
      <c r="M4" s="9" t="s">
        <v>265</v>
      </c>
      <c r="N4" s="9"/>
      <c r="O4" s="9"/>
      <c r="P4" s="9"/>
    </row>
    <row r="5" spans="1:16">
      <c r="A5" s="9" t="s">
        <v>256</v>
      </c>
      <c r="B5" s="9" t="s">
        <v>257</v>
      </c>
      <c r="C5" s="9" t="s">
        <v>260</v>
      </c>
      <c r="D5" s="9" t="s">
        <v>266</v>
      </c>
      <c r="E5" s="9" t="s">
        <v>267</v>
      </c>
      <c r="F5" s="9">
        <v>-6000</v>
      </c>
      <c r="G5" s="9">
        <v>0</v>
      </c>
      <c r="H5" s="9">
        <v>0</v>
      </c>
      <c r="I5" s="9"/>
      <c r="J5" s="9"/>
      <c r="K5" s="10">
        <v>45842</v>
      </c>
      <c r="L5" s="11">
        <v>0.45624999999999999</v>
      </c>
      <c r="M5" s="9" t="s">
        <v>265</v>
      </c>
      <c r="N5" s="9"/>
      <c r="O5" s="9"/>
      <c r="P5" s="9"/>
    </row>
    <row r="6" spans="1:16">
      <c r="A6" s="9" t="s">
        <v>256</v>
      </c>
      <c r="B6" s="9" t="s">
        <v>257</v>
      </c>
      <c r="C6" s="9" t="s">
        <v>260</v>
      </c>
      <c r="D6" s="9" t="s">
        <v>266</v>
      </c>
      <c r="E6" s="9" t="s">
        <v>267</v>
      </c>
      <c r="F6" s="9">
        <v>-3000</v>
      </c>
      <c r="G6" s="9">
        <v>0</v>
      </c>
      <c r="H6" s="9">
        <v>0</v>
      </c>
      <c r="I6" s="9"/>
      <c r="J6" s="9"/>
      <c r="K6" s="10">
        <v>45843</v>
      </c>
      <c r="L6" s="11">
        <v>0.4145833333333333</v>
      </c>
      <c r="M6" s="9" t="s">
        <v>265</v>
      </c>
      <c r="N6" s="9"/>
      <c r="O6" s="9"/>
      <c r="P6" s="9"/>
    </row>
    <row r="7" spans="1:16">
      <c r="A7" s="9" t="s">
        <v>256</v>
      </c>
      <c r="B7" s="9" t="s">
        <v>257</v>
      </c>
      <c r="C7" s="9" t="s">
        <v>260</v>
      </c>
      <c r="D7" s="9" t="s">
        <v>268</v>
      </c>
      <c r="E7" s="9" t="s">
        <v>168</v>
      </c>
      <c r="F7" s="9">
        <v>-1340</v>
      </c>
      <c r="G7" s="9">
        <v>0</v>
      </c>
      <c r="H7" s="9">
        <v>0</v>
      </c>
      <c r="I7" s="9"/>
      <c r="J7" s="9"/>
      <c r="K7" s="10">
        <v>45844</v>
      </c>
      <c r="L7" s="11">
        <v>0.62222222222222223</v>
      </c>
      <c r="M7" s="9" t="s">
        <v>265</v>
      </c>
      <c r="N7" s="9"/>
      <c r="O7" s="9"/>
      <c r="P7" s="9"/>
    </row>
    <row r="8" spans="1:16">
      <c r="A8" s="9" t="s">
        <v>256</v>
      </c>
      <c r="B8" s="9" t="s">
        <v>257</v>
      </c>
      <c r="C8" s="9" t="s">
        <v>260</v>
      </c>
      <c r="D8" s="9" t="s">
        <v>266</v>
      </c>
      <c r="E8" s="9" t="s">
        <v>70</v>
      </c>
      <c r="F8" s="225">
        <v>-5177</v>
      </c>
      <c r="G8" s="9">
        <v>0</v>
      </c>
      <c r="H8" s="9">
        <v>0</v>
      </c>
      <c r="I8" s="9"/>
      <c r="J8" s="9"/>
      <c r="K8" s="10">
        <v>45845</v>
      </c>
      <c r="L8" s="11">
        <v>0.25763888888888892</v>
      </c>
      <c r="M8" s="9"/>
      <c r="N8" s="9"/>
      <c r="O8" s="9"/>
      <c r="P8" s="9"/>
    </row>
    <row r="9" spans="1:16">
      <c r="A9" s="9" t="s">
        <v>256</v>
      </c>
      <c r="B9" s="9" t="s">
        <v>257</v>
      </c>
      <c r="C9" s="9" t="s">
        <v>260</v>
      </c>
      <c r="D9" s="9" t="s">
        <v>266</v>
      </c>
      <c r="E9" s="9" t="s">
        <v>70</v>
      </c>
      <c r="F9" s="225">
        <v>-29911</v>
      </c>
      <c r="G9" s="9">
        <v>0</v>
      </c>
      <c r="H9" s="9">
        <v>0</v>
      </c>
      <c r="I9" s="9"/>
      <c r="J9" s="9"/>
      <c r="K9" s="10">
        <v>45846</v>
      </c>
      <c r="L9" s="11">
        <v>0.77500000000000002</v>
      </c>
      <c r="M9" s="9"/>
      <c r="N9" s="9"/>
      <c r="O9" s="9"/>
      <c r="P9" s="9"/>
    </row>
    <row r="10" spans="1:16">
      <c r="A10" s="9" t="s">
        <v>256</v>
      </c>
      <c r="B10" s="9" t="s">
        <v>257</v>
      </c>
      <c r="C10" s="9" t="s">
        <v>260</v>
      </c>
      <c r="D10" s="9" t="s">
        <v>266</v>
      </c>
      <c r="E10" s="9" t="s">
        <v>70</v>
      </c>
      <c r="F10" s="225">
        <v>-1456</v>
      </c>
      <c r="G10" s="9">
        <v>0</v>
      </c>
      <c r="H10" s="9">
        <v>0</v>
      </c>
      <c r="I10" s="9"/>
      <c r="J10" s="9"/>
      <c r="K10" s="10">
        <v>45847</v>
      </c>
      <c r="L10" s="11">
        <v>0.1361111111111111</v>
      </c>
      <c r="M10" s="9" t="s">
        <v>265</v>
      </c>
      <c r="N10" s="9"/>
      <c r="O10" s="9"/>
      <c r="P10" s="9"/>
    </row>
    <row r="11" spans="1:16">
      <c r="A11" s="9" t="s">
        <v>256</v>
      </c>
      <c r="B11" s="9" t="s">
        <v>257</v>
      </c>
      <c r="C11" s="9" t="s">
        <v>260</v>
      </c>
      <c r="D11" s="9" t="s">
        <v>266</v>
      </c>
      <c r="E11" s="9" t="s">
        <v>70</v>
      </c>
      <c r="F11" s="225">
        <v>-2937</v>
      </c>
      <c r="G11" s="9">
        <v>0</v>
      </c>
      <c r="H11" s="9">
        <v>0</v>
      </c>
      <c r="I11" s="9"/>
      <c r="J11" s="9"/>
      <c r="K11" s="10">
        <v>45848</v>
      </c>
      <c r="L11" s="11">
        <v>0.25763888888888892</v>
      </c>
      <c r="M11" s="9" t="s">
        <v>265</v>
      </c>
      <c r="N11" s="9"/>
      <c r="O11" s="9"/>
      <c r="P11" s="9"/>
    </row>
    <row r="12" spans="1:16">
      <c r="A12" s="9" t="s">
        <v>256</v>
      </c>
      <c r="B12" s="9" t="s">
        <v>257</v>
      </c>
      <c r="C12" s="9" t="s">
        <v>260</v>
      </c>
      <c r="D12" s="9" t="s">
        <v>266</v>
      </c>
      <c r="E12" s="9" t="s">
        <v>70</v>
      </c>
      <c r="F12" s="116">
        <v>-7800</v>
      </c>
      <c r="G12" s="9">
        <v>0</v>
      </c>
      <c r="H12" s="9">
        <v>0</v>
      </c>
      <c r="I12" s="9"/>
      <c r="J12" s="9"/>
      <c r="K12" s="10">
        <v>45849</v>
      </c>
      <c r="L12" s="11">
        <v>0.13680555555555554</v>
      </c>
      <c r="M12" s="9" t="s">
        <v>265</v>
      </c>
      <c r="N12" s="9"/>
      <c r="O12" s="9"/>
      <c r="P12" s="9"/>
    </row>
    <row r="13" spans="1:16">
      <c r="A13" s="9" t="s">
        <v>256</v>
      </c>
      <c r="B13" s="9" t="s">
        <v>257</v>
      </c>
      <c r="C13" s="9" t="s">
        <v>260</v>
      </c>
      <c r="D13" s="9" t="s">
        <v>266</v>
      </c>
      <c r="E13" s="9" t="s">
        <v>70</v>
      </c>
      <c r="F13" s="116">
        <v>-23128</v>
      </c>
      <c r="G13" s="9">
        <v>0</v>
      </c>
      <c r="H13" s="9">
        <v>0</v>
      </c>
      <c r="I13" s="9"/>
      <c r="J13" s="9"/>
      <c r="K13" s="10">
        <v>45850</v>
      </c>
      <c r="L13" s="11">
        <v>0.64374999999999993</v>
      </c>
      <c r="M13" s="9" t="s">
        <v>265</v>
      </c>
      <c r="N13" s="9"/>
      <c r="O13" s="9"/>
      <c r="P13" s="9"/>
    </row>
    <row r="14" spans="1:16">
      <c r="A14" s="9" t="s">
        <v>256</v>
      </c>
      <c r="B14" s="9" t="s">
        <v>257</v>
      </c>
      <c r="C14" s="9" t="s">
        <v>260</v>
      </c>
      <c r="D14" s="9" t="s">
        <v>266</v>
      </c>
      <c r="E14" s="9" t="s">
        <v>70</v>
      </c>
      <c r="F14" s="116">
        <v>-7260</v>
      </c>
      <c r="G14" s="9">
        <v>0</v>
      </c>
      <c r="H14" s="9">
        <v>0</v>
      </c>
      <c r="I14" s="9"/>
      <c r="J14" s="9"/>
      <c r="K14" s="10">
        <v>45851</v>
      </c>
      <c r="L14" s="11">
        <v>0.41944444444444445</v>
      </c>
      <c r="M14" s="9" t="s">
        <v>265</v>
      </c>
      <c r="N14" s="9"/>
      <c r="O14" s="9"/>
      <c r="P14" s="9"/>
    </row>
    <row r="15" spans="1:16">
      <c r="A15" s="9" t="s">
        <v>256</v>
      </c>
      <c r="B15" s="9" t="s">
        <v>257</v>
      </c>
      <c r="C15" s="9" t="s">
        <v>260</v>
      </c>
      <c r="D15" s="9" t="s">
        <v>269</v>
      </c>
      <c r="E15" s="9" t="s">
        <v>270</v>
      </c>
      <c r="F15" s="9">
        <v>-130</v>
      </c>
      <c r="G15" s="9">
        <v>0</v>
      </c>
      <c r="H15" s="9">
        <v>0</v>
      </c>
      <c r="I15" s="9" t="s">
        <v>271</v>
      </c>
      <c r="J15" s="9"/>
      <c r="K15" s="10">
        <v>45852</v>
      </c>
      <c r="L15" s="11">
        <v>0.55833333333333335</v>
      </c>
      <c r="M15" s="9" t="s">
        <v>265</v>
      </c>
      <c r="N15" s="9"/>
      <c r="O15" s="9"/>
      <c r="P15" s="9"/>
    </row>
    <row r="16" spans="1:16">
      <c r="A16" s="9" t="s">
        <v>256</v>
      </c>
      <c r="B16" s="9" t="s">
        <v>257</v>
      </c>
      <c r="C16" s="9" t="s">
        <v>260</v>
      </c>
      <c r="D16" s="9" t="s">
        <v>263</v>
      </c>
      <c r="E16" s="9" t="s">
        <v>272</v>
      </c>
      <c r="F16" s="9">
        <v>-50</v>
      </c>
      <c r="G16" s="9">
        <v>0</v>
      </c>
      <c r="H16" s="9">
        <v>0</v>
      </c>
      <c r="I16" s="9"/>
      <c r="J16" s="9"/>
      <c r="K16" s="10">
        <v>45853</v>
      </c>
      <c r="L16" s="11">
        <v>0.55902777777777779</v>
      </c>
      <c r="M16" s="9" t="s">
        <v>265</v>
      </c>
      <c r="N16" s="9"/>
      <c r="O16" s="9"/>
      <c r="P16" s="9"/>
    </row>
    <row r="17" spans="1:16">
      <c r="A17" s="9" t="s">
        <v>256</v>
      </c>
      <c r="B17" s="9" t="s">
        <v>257</v>
      </c>
      <c r="C17" s="9" t="s">
        <v>260</v>
      </c>
      <c r="D17" s="9" t="s">
        <v>268</v>
      </c>
      <c r="E17" s="9" t="s">
        <v>273</v>
      </c>
      <c r="F17" s="9">
        <v>-1190</v>
      </c>
      <c r="G17" s="9">
        <v>0</v>
      </c>
      <c r="H17" s="9">
        <v>0</v>
      </c>
      <c r="I17" s="9"/>
      <c r="J17" s="9"/>
      <c r="K17" s="10">
        <v>45854</v>
      </c>
      <c r="L17" s="11">
        <v>0.1388888888888889</v>
      </c>
      <c r="M17" s="9" t="s">
        <v>265</v>
      </c>
      <c r="N17" s="9"/>
      <c r="O17" s="9"/>
      <c r="P17" s="9"/>
    </row>
    <row r="18" spans="1:16">
      <c r="A18" s="9" t="s">
        <v>256</v>
      </c>
      <c r="B18" s="9" t="s">
        <v>257</v>
      </c>
      <c r="C18" s="9" t="s">
        <v>260</v>
      </c>
      <c r="D18" s="9" t="s">
        <v>263</v>
      </c>
      <c r="E18" s="9" t="s">
        <v>272</v>
      </c>
      <c r="F18" s="9">
        <v>-124</v>
      </c>
      <c r="G18" s="9">
        <v>0</v>
      </c>
      <c r="H18" s="9">
        <v>0</v>
      </c>
      <c r="I18" s="9"/>
      <c r="J18" s="9"/>
      <c r="K18" s="10">
        <v>45855</v>
      </c>
      <c r="L18" s="11">
        <v>0.13680555555555554</v>
      </c>
      <c r="M18" s="9" t="s">
        <v>265</v>
      </c>
      <c r="N18" s="9"/>
      <c r="O18" s="9"/>
      <c r="P18" s="9"/>
    </row>
    <row r="19" spans="1:16">
      <c r="A19" s="9" t="s">
        <v>256</v>
      </c>
      <c r="B19" s="9" t="s">
        <v>257</v>
      </c>
      <c r="C19" s="9" t="s">
        <v>258</v>
      </c>
      <c r="D19" s="9" t="s">
        <v>259</v>
      </c>
      <c r="E19" s="9" t="s">
        <v>118</v>
      </c>
      <c r="F19" s="9">
        <v>15000</v>
      </c>
      <c r="G19" s="9">
        <v>0</v>
      </c>
      <c r="H19" s="9">
        <v>0</v>
      </c>
      <c r="I19" s="9"/>
      <c r="J19" s="9"/>
      <c r="K19" s="10">
        <v>45866</v>
      </c>
      <c r="L19" s="11">
        <v>0.13819444444444443</v>
      </c>
      <c r="M19" s="9" t="s">
        <v>265</v>
      </c>
      <c r="N19" s="9"/>
      <c r="O19" s="9"/>
      <c r="P19" s="9"/>
    </row>
    <row r="20" spans="1:16">
      <c r="A20" s="9" t="s">
        <v>256</v>
      </c>
      <c r="B20" s="9" t="s">
        <v>257</v>
      </c>
      <c r="C20" s="9" t="s">
        <v>258</v>
      </c>
      <c r="D20" s="9" t="s">
        <v>259</v>
      </c>
      <c r="E20" s="9" t="s">
        <v>117</v>
      </c>
      <c r="F20" s="9">
        <v>71244</v>
      </c>
      <c r="G20" s="9">
        <v>0</v>
      </c>
      <c r="H20" s="9">
        <v>0</v>
      </c>
      <c r="I20" s="9"/>
      <c r="J20" s="9"/>
      <c r="K20" s="10">
        <v>45870</v>
      </c>
      <c r="L20" s="11">
        <v>0.77500000000000002</v>
      </c>
      <c r="M20" s="9"/>
      <c r="N20" s="9"/>
      <c r="O20" s="9"/>
      <c r="P20" s="9"/>
    </row>
    <row r="21" spans="1:16">
      <c r="A21" s="9" t="s">
        <v>256</v>
      </c>
      <c r="B21" s="9" t="s">
        <v>257</v>
      </c>
      <c r="C21" s="9" t="s">
        <v>260</v>
      </c>
      <c r="D21" s="9" t="s">
        <v>266</v>
      </c>
      <c r="E21" s="9" t="s">
        <v>267</v>
      </c>
      <c r="F21" s="9">
        <v>-6000</v>
      </c>
      <c r="G21" s="9">
        <v>0</v>
      </c>
      <c r="H21" s="9">
        <v>0</v>
      </c>
      <c r="I21" s="9"/>
      <c r="J21" s="9"/>
      <c r="K21" s="10">
        <v>45871</v>
      </c>
      <c r="L21" s="11">
        <v>0.1361111111111111</v>
      </c>
      <c r="M21" s="9" t="s">
        <v>265</v>
      </c>
      <c r="N21" s="9"/>
      <c r="O21" s="9"/>
      <c r="P21" s="9"/>
    </row>
    <row r="22" spans="1:16">
      <c r="A22" s="9" t="s">
        <v>256</v>
      </c>
      <c r="B22" s="9" t="s">
        <v>257</v>
      </c>
      <c r="C22" s="9" t="s">
        <v>260</v>
      </c>
      <c r="D22" s="9" t="s">
        <v>266</v>
      </c>
      <c r="E22" s="9" t="s">
        <v>267</v>
      </c>
      <c r="F22" s="9">
        <v>-3000</v>
      </c>
      <c r="G22" s="9">
        <v>0</v>
      </c>
      <c r="H22" s="9">
        <v>0</v>
      </c>
      <c r="I22" s="9"/>
      <c r="J22" s="9"/>
      <c r="K22" s="10">
        <v>45872</v>
      </c>
      <c r="L22" s="11">
        <v>0.13680555555555554</v>
      </c>
      <c r="M22" s="9" t="s">
        <v>265</v>
      </c>
      <c r="N22" s="9"/>
      <c r="O22" s="9"/>
      <c r="P22" s="9"/>
    </row>
    <row r="23" spans="1:16">
      <c r="A23" s="9" t="s">
        <v>256</v>
      </c>
      <c r="B23" s="9" t="s">
        <v>257</v>
      </c>
      <c r="C23" s="9" t="s">
        <v>260</v>
      </c>
      <c r="D23" s="9" t="s">
        <v>266</v>
      </c>
      <c r="E23" s="9" t="s">
        <v>70</v>
      </c>
      <c r="F23" s="225">
        <v>-5177</v>
      </c>
      <c r="G23" s="9">
        <v>0</v>
      </c>
      <c r="H23" s="9">
        <v>0</v>
      </c>
      <c r="I23" s="9"/>
      <c r="J23" s="9"/>
      <c r="K23" s="10">
        <v>45873</v>
      </c>
      <c r="L23" s="11">
        <v>0.7090277777777777</v>
      </c>
      <c r="M23" s="9" t="s">
        <v>265</v>
      </c>
      <c r="N23" s="9"/>
      <c r="O23" s="9"/>
      <c r="P23" s="9"/>
    </row>
    <row r="24" spans="1:16">
      <c r="A24" s="9" t="s">
        <v>256</v>
      </c>
      <c r="B24" s="9" t="s">
        <v>257</v>
      </c>
      <c r="C24" s="9" t="s">
        <v>260</v>
      </c>
      <c r="D24" s="9" t="s">
        <v>266</v>
      </c>
      <c r="E24" s="9" t="s">
        <v>70</v>
      </c>
      <c r="F24" s="225">
        <v>-29911</v>
      </c>
      <c r="G24" s="9">
        <v>0</v>
      </c>
      <c r="H24" s="9">
        <v>0</v>
      </c>
      <c r="I24" s="9"/>
      <c r="J24" s="9"/>
      <c r="K24" s="10">
        <v>45874</v>
      </c>
      <c r="L24" s="11">
        <v>0.71180555555555547</v>
      </c>
      <c r="M24" s="9" t="s">
        <v>265</v>
      </c>
      <c r="N24" s="9"/>
      <c r="O24" s="9"/>
      <c r="P24" s="9"/>
    </row>
    <row r="25" spans="1:16">
      <c r="A25" s="9" t="s">
        <v>256</v>
      </c>
      <c r="B25" s="9" t="s">
        <v>257</v>
      </c>
      <c r="C25" s="9" t="s">
        <v>260</v>
      </c>
      <c r="D25" s="9" t="s">
        <v>266</v>
      </c>
      <c r="E25" s="9" t="s">
        <v>70</v>
      </c>
      <c r="F25" s="225">
        <v>-1456</v>
      </c>
      <c r="G25" s="9">
        <v>0</v>
      </c>
      <c r="H25" s="9">
        <v>0</v>
      </c>
      <c r="I25" s="9"/>
      <c r="J25" s="9"/>
      <c r="K25" s="10">
        <v>45875</v>
      </c>
      <c r="L25" s="11">
        <v>0.46527777777777773</v>
      </c>
      <c r="M25" s="9" t="s">
        <v>265</v>
      </c>
      <c r="N25" s="9"/>
      <c r="O25" s="9"/>
      <c r="P25" s="9"/>
    </row>
    <row r="26" spans="1:16">
      <c r="A26" s="9" t="s">
        <v>256</v>
      </c>
      <c r="B26" s="9" t="s">
        <v>257</v>
      </c>
      <c r="C26" s="9" t="s">
        <v>260</v>
      </c>
      <c r="D26" s="9" t="s">
        <v>266</v>
      </c>
      <c r="E26" s="9" t="s">
        <v>70</v>
      </c>
      <c r="F26" s="225">
        <v>-2937</v>
      </c>
      <c r="G26" s="9">
        <v>0</v>
      </c>
      <c r="H26" s="9">
        <v>0</v>
      </c>
      <c r="I26" s="9"/>
      <c r="J26" s="9"/>
      <c r="K26" s="10">
        <v>45876</v>
      </c>
      <c r="L26" s="11">
        <v>0.7104166666666667</v>
      </c>
      <c r="M26" s="9" t="s">
        <v>265</v>
      </c>
      <c r="N26" s="9"/>
      <c r="O26" s="9"/>
      <c r="P26" s="9"/>
    </row>
    <row r="27" spans="1:16">
      <c r="A27" s="9" t="s">
        <v>256</v>
      </c>
      <c r="B27" s="9" t="s">
        <v>257</v>
      </c>
      <c r="C27" s="9" t="s">
        <v>260</v>
      </c>
      <c r="D27" s="9" t="s">
        <v>266</v>
      </c>
      <c r="E27" s="9" t="s">
        <v>70</v>
      </c>
      <c r="F27" s="116">
        <v>-7800</v>
      </c>
      <c r="G27" s="9">
        <v>0</v>
      </c>
      <c r="H27" s="9">
        <v>0</v>
      </c>
      <c r="I27" s="9"/>
      <c r="J27" s="9"/>
      <c r="K27" s="10">
        <v>45877</v>
      </c>
      <c r="L27" s="11">
        <v>0.7104166666666667</v>
      </c>
      <c r="M27" s="9" t="s">
        <v>265</v>
      </c>
      <c r="N27" s="9"/>
      <c r="O27" s="9"/>
      <c r="P27" s="9"/>
    </row>
    <row r="28" spans="1:16">
      <c r="A28" s="9" t="s">
        <v>256</v>
      </c>
      <c r="B28" s="9" t="s">
        <v>257</v>
      </c>
      <c r="C28" s="9" t="s">
        <v>260</v>
      </c>
      <c r="D28" s="9" t="s">
        <v>266</v>
      </c>
      <c r="E28" s="9" t="s">
        <v>70</v>
      </c>
      <c r="F28" s="116">
        <v>-23128</v>
      </c>
      <c r="G28" s="9">
        <v>0</v>
      </c>
      <c r="H28" s="9">
        <v>0</v>
      </c>
      <c r="I28" s="9"/>
      <c r="J28" s="9"/>
      <c r="K28" s="10">
        <v>45878</v>
      </c>
      <c r="L28" s="11">
        <v>0.77500000000000002</v>
      </c>
      <c r="M28" s="9"/>
      <c r="N28" s="9"/>
      <c r="O28" s="9"/>
      <c r="P28" s="9"/>
    </row>
    <row r="29" spans="1:16">
      <c r="A29" s="9" t="s">
        <v>256</v>
      </c>
      <c r="B29" s="9" t="s">
        <v>257</v>
      </c>
      <c r="C29" s="9" t="s">
        <v>258</v>
      </c>
      <c r="D29" s="9" t="s">
        <v>274</v>
      </c>
      <c r="E29" s="9" t="s">
        <v>275</v>
      </c>
      <c r="F29" s="116">
        <v>20000</v>
      </c>
      <c r="G29" s="9">
        <v>0</v>
      </c>
      <c r="H29" s="9">
        <v>0</v>
      </c>
      <c r="I29" s="9"/>
      <c r="J29" s="9"/>
      <c r="K29" s="10">
        <v>45879</v>
      </c>
      <c r="L29" s="11">
        <v>0.39166666666666666</v>
      </c>
      <c r="M29" s="9" t="s">
        <v>265</v>
      </c>
      <c r="N29" s="9"/>
      <c r="O29" s="9"/>
      <c r="P29" s="9"/>
    </row>
    <row r="30" spans="1:16">
      <c r="A30" s="9" t="s">
        <v>256</v>
      </c>
      <c r="B30" s="9" t="s">
        <v>257</v>
      </c>
      <c r="C30" s="9" t="s">
        <v>260</v>
      </c>
      <c r="D30" s="9" t="s">
        <v>266</v>
      </c>
      <c r="E30" s="9" t="s">
        <v>70</v>
      </c>
      <c r="F30" s="116">
        <v>-7260</v>
      </c>
      <c r="G30" s="9">
        <v>0</v>
      </c>
      <c r="H30" s="9">
        <v>0</v>
      </c>
      <c r="I30" s="9"/>
      <c r="J30" s="9"/>
      <c r="K30" s="10">
        <v>45880</v>
      </c>
      <c r="L30" s="11">
        <v>0.43333333333333302</v>
      </c>
      <c r="M30" s="9" t="s">
        <v>265</v>
      </c>
      <c r="N30" s="9"/>
      <c r="O30" s="9"/>
      <c r="P30" s="9"/>
    </row>
    <row r="31" spans="1:16">
      <c r="A31" s="9" t="s">
        <v>256</v>
      </c>
      <c r="B31" s="9" t="s">
        <v>257</v>
      </c>
      <c r="C31" s="9" t="s">
        <v>260</v>
      </c>
      <c r="D31" s="9" t="s">
        <v>276</v>
      </c>
      <c r="E31" s="9" t="s">
        <v>277</v>
      </c>
      <c r="F31" s="9">
        <v>-20000</v>
      </c>
      <c r="G31" s="9">
        <v>0</v>
      </c>
      <c r="H31" s="9">
        <v>0</v>
      </c>
      <c r="I31" s="9"/>
      <c r="J31" s="9"/>
      <c r="K31" s="10">
        <v>45880</v>
      </c>
      <c r="L31" s="11">
        <v>0.39583333333333331</v>
      </c>
      <c r="M31" s="9"/>
      <c r="N31" s="9"/>
      <c r="O31" s="9"/>
      <c r="P31" s="9"/>
    </row>
    <row r="32" spans="1:16">
      <c r="A32" s="9" t="s">
        <v>256</v>
      </c>
      <c r="B32" s="9" t="s">
        <v>257</v>
      </c>
      <c r="C32" s="9" t="s">
        <v>260</v>
      </c>
      <c r="D32" s="9" t="s">
        <v>263</v>
      </c>
      <c r="E32" s="9" t="s">
        <v>264</v>
      </c>
      <c r="F32" s="9">
        <v>-45</v>
      </c>
      <c r="G32" s="9">
        <v>0</v>
      </c>
      <c r="H32" s="9">
        <v>0</v>
      </c>
      <c r="I32" s="9"/>
      <c r="J32" s="9"/>
      <c r="K32" s="10">
        <v>45881</v>
      </c>
      <c r="L32" s="11">
        <v>0.56041666666666667</v>
      </c>
      <c r="M32" s="9" t="s">
        <v>265</v>
      </c>
      <c r="N32" s="9"/>
      <c r="O32" s="9"/>
      <c r="P32" s="9"/>
    </row>
    <row r="33" spans="1:16">
      <c r="A33" s="9" t="s">
        <v>256</v>
      </c>
      <c r="B33" s="9" t="s">
        <v>257</v>
      </c>
      <c r="C33" s="9" t="s">
        <v>260</v>
      </c>
      <c r="D33" s="9" t="s">
        <v>263</v>
      </c>
      <c r="E33" s="9" t="s">
        <v>264</v>
      </c>
      <c r="F33" s="9">
        <v>-349</v>
      </c>
      <c r="G33" s="9">
        <v>0</v>
      </c>
      <c r="H33" s="9">
        <v>0</v>
      </c>
      <c r="I33" s="9"/>
      <c r="J33" s="9"/>
      <c r="K33" s="10">
        <v>45882</v>
      </c>
      <c r="L33" s="11">
        <v>0.74513888888888891</v>
      </c>
      <c r="M33" s="9" t="s">
        <v>265</v>
      </c>
      <c r="N33" s="9"/>
      <c r="O33" s="9"/>
      <c r="P33" s="9"/>
    </row>
    <row r="34" spans="1:16">
      <c r="A34" s="9" t="s">
        <v>256</v>
      </c>
      <c r="B34" s="9" t="s">
        <v>257</v>
      </c>
      <c r="C34" s="9" t="s">
        <v>260</v>
      </c>
      <c r="D34" s="9" t="s">
        <v>278</v>
      </c>
      <c r="E34" s="9" t="s">
        <v>279</v>
      </c>
      <c r="F34" s="9">
        <v>-1450</v>
      </c>
      <c r="G34" s="9">
        <v>0</v>
      </c>
      <c r="H34" s="9">
        <v>0</v>
      </c>
      <c r="I34" s="9"/>
      <c r="J34" s="9"/>
      <c r="K34" s="10">
        <v>45883</v>
      </c>
      <c r="L34" s="11">
        <v>0.39444444444444443</v>
      </c>
      <c r="M34" s="9" t="s">
        <v>265</v>
      </c>
      <c r="N34" s="9"/>
      <c r="O34" s="9"/>
      <c r="P34" s="9"/>
    </row>
    <row r="35" spans="1:16">
      <c r="A35" s="9" t="s">
        <v>256</v>
      </c>
      <c r="B35" s="9" t="s">
        <v>257</v>
      </c>
      <c r="C35" s="9" t="s">
        <v>260</v>
      </c>
      <c r="D35" s="9" t="s">
        <v>263</v>
      </c>
      <c r="E35" s="9" t="s">
        <v>264</v>
      </c>
      <c r="F35" s="9">
        <v>-114</v>
      </c>
      <c r="G35" s="9">
        <v>0</v>
      </c>
      <c r="H35" s="9">
        <v>0</v>
      </c>
      <c r="I35" s="9"/>
      <c r="J35" s="9"/>
      <c r="K35" s="10">
        <v>45884</v>
      </c>
      <c r="L35" s="11">
        <v>0.29652777777777778</v>
      </c>
      <c r="M35" s="9" t="s">
        <v>265</v>
      </c>
      <c r="N35" s="9"/>
      <c r="O35" s="9"/>
      <c r="P35" s="9"/>
    </row>
    <row r="36" spans="1:16">
      <c r="A36" s="9" t="s">
        <v>256</v>
      </c>
      <c r="B36" s="9" t="s">
        <v>257</v>
      </c>
      <c r="C36" s="9" t="s">
        <v>258</v>
      </c>
      <c r="D36" s="9" t="s">
        <v>259</v>
      </c>
      <c r="E36" s="9" t="s">
        <v>118</v>
      </c>
      <c r="F36" s="9">
        <v>15000</v>
      </c>
      <c r="G36" s="9">
        <v>0</v>
      </c>
      <c r="H36" s="9">
        <v>0</v>
      </c>
      <c r="I36" s="9"/>
      <c r="J36" s="9"/>
      <c r="K36" s="10">
        <v>45885</v>
      </c>
      <c r="L36" s="11">
        <v>0.29652777777777778</v>
      </c>
      <c r="M36" s="9" t="s">
        <v>265</v>
      </c>
      <c r="N36" s="9"/>
      <c r="O36" s="9"/>
      <c r="P36" s="9"/>
    </row>
    <row r="37" spans="1:16">
      <c r="A37" s="9" t="s">
        <v>256</v>
      </c>
      <c r="B37" s="9" t="s">
        <v>257</v>
      </c>
      <c r="C37" s="9" t="s">
        <v>258</v>
      </c>
      <c r="D37" s="9" t="s">
        <v>259</v>
      </c>
      <c r="E37" s="9" t="s">
        <v>117</v>
      </c>
      <c r="F37" s="9">
        <v>71244</v>
      </c>
      <c r="G37" s="9">
        <v>0</v>
      </c>
      <c r="H37" s="9">
        <v>0</v>
      </c>
      <c r="I37" s="9"/>
      <c r="J37" s="9"/>
      <c r="K37" s="10">
        <v>45536</v>
      </c>
      <c r="L37" s="11">
        <v>0.46249999999999997</v>
      </c>
      <c r="M37" s="9" t="s">
        <v>265</v>
      </c>
      <c r="N37" s="9"/>
      <c r="O37" s="9"/>
      <c r="P37" s="9"/>
    </row>
    <row r="38" spans="1:16">
      <c r="A38" s="9" t="s">
        <v>256</v>
      </c>
      <c r="B38" s="9" t="s">
        <v>257</v>
      </c>
      <c r="C38" s="9" t="s">
        <v>260</v>
      </c>
      <c r="D38" s="9" t="s">
        <v>266</v>
      </c>
      <c r="E38" s="9" t="s">
        <v>267</v>
      </c>
      <c r="F38" s="9">
        <v>-6000</v>
      </c>
      <c r="G38" s="9">
        <v>0</v>
      </c>
      <c r="H38" s="9">
        <v>0</v>
      </c>
      <c r="I38" s="9"/>
      <c r="J38" s="9"/>
      <c r="K38" s="10">
        <v>45537</v>
      </c>
      <c r="L38" s="11">
        <v>0.46319444444444446</v>
      </c>
      <c r="M38" s="9" t="s">
        <v>265</v>
      </c>
      <c r="N38" s="9"/>
      <c r="O38" s="9"/>
      <c r="P38" s="9"/>
    </row>
    <row r="39" spans="1:16">
      <c r="A39" s="9" t="s">
        <v>256</v>
      </c>
      <c r="B39" s="9" t="s">
        <v>257</v>
      </c>
      <c r="C39" s="9" t="s">
        <v>260</v>
      </c>
      <c r="D39" s="9" t="s">
        <v>266</v>
      </c>
      <c r="E39" s="9" t="s">
        <v>267</v>
      </c>
      <c r="F39" s="9">
        <v>-3000</v>
      </c>
      <c r="G39" s="9">
        <v>0</v>
      </c>
      <c r="H39" s="9">
        <v>0</v>
      </c>
      <c r="I39" s="9"/>
      <c r="J39" s="9"/>
      <c r="K39" s="10">
        <v>45538</v>
      </c>
      <c r="L39" s="11">
        <v>0.1361111111111111</v>
      </c>
      <c r="M39" s="9" t="s">
        <v>265</v>
      </c>
      <c r="N39" s="9"/>
      <c r="O39" s="9"/>
      <c r="P39" s="9"/>
    </row>
    <row r="40" spans="1:16">
      <c r="A40" s="9" t="s">
        <v>256</v>
      </c>
      <c r="B40" s="9" t="s">
        <v>257</v>
      </c>
      <c r="C40" s="9" t="s">
        <v>260</v>
      </c>
      <c r="D40" s="9" t="s">
        <v>266</v>
      </c>
      <c r="E40" s="9" t="s">
        <v>70</v>
      </c>
      <c r="F40" s="225">
        <v>-5177</v>
      </c>
      <c r="G40" s="9">
        <v>0</v>
      </c>
      <c r="H40" s="9">
        <v>0</v>
      </c>
      <c r="I40" s="9"/>
      <c r="J40" s="9"/>
      <c r="K40" s="10">
        <v>45539</v>
      </c>
      <c r="L40" s="11">
        <v>0.13680555555555554</v>
      </c>
      <c r="M40" s="9" t="s">
        <v>265</v>
      </c>
      <c r="N40" s="9"/>
      <c r="O40" s="9"/>
      <c r="P40" s="9"/>
    </row>
    <row r="41" spans="1:16">
      <c r="A41" s="9" t="s">
        <v>256</v>
      </c>
      <c r="B41" s="9" t="s">
        <v>257</v>
      </c>
      <c r="C41" s="9" t="s">
        <v>260</v>
      </c>
      <c r="D41" s="9" t="s">
        <v>266</v>
      </c>
      <c r="E41" s="9" t="s">
        <v>70</v>
      </c>
      <c r="F41" s="225">
        <v>-29911</v>
      </c>
      <c r="G41" s="9">
        <v>0</v>
      </c>
      <c r="H41" s="9">
        <v>0</v>
      </c>
      <c r="I41" s="9"/>
      <c r="J41" s="9"/>
      <c r="K41" s="10">
        <v>45540</v>
      </c>
      <c r="L41" s="11">
        <v>0.7090277777777777</v>
      </c>
      <c r="M41" s="9" t="s">
        <v>265</v>
      </c>
      <c r="N41" s="9"/>
      <c r="O41" s="9"/>
      <c r="P41" s="9"/>
    </row>
    <row r="42" spans="1:16">
      <c r="A42" s="9" t="s">
        <v>256</v>
      </c>
      <c r="B42" s="9" t="s">
        <v>257</v>
      </c>
      <c r="C42" s="9" t="s">
        <v>260</v>
      </c>
      <c r="D42" s="9" t="s">
        <v>266</v>
      </c>
      <c r="E42" s="9" t="s">
        <v>70</v>
      </c>
      <c r="F42" s="225">
        <v>-1456</v>
      </c>
      <c r="G42" s="9">
        <v>0</v>
      </c>
      <c r="H42" s="9">
        <v>0</v>
      </c>
      <c r="I42" s="9"/>
      <c r="J42" s="9"/>
      <c r="K42" s="10">
        <v>45541</v>
      </c>
      <c r="L42" s="11">
        <v>0.71180555555555547</v>
      </c>
      <c r="M42" s="9" t="s">
        <v>265</v>
      </c>
    </row>
    <row r="43" spans="1:16">
      <c r="A43" s="9" t="s">
        <v>256</v>
      </c>
      <c r="B43" s="9" t="s">
        <v>257</v>
      </c>
      <c r="C43" s="9" t="s">
        <v>260</v>
      </c>
      <c r="D43" s="9" t="s">
        <v>266</v>
      </c>
      <c r="E43" s="9" t="s">
        <v>70</v>
      </c>
      <c r="F43" s="225">
        <v>-2937</v>
      </c>
      <c r="G43" s="9">
        <v>0</v>
      </c>
      <c r="H43" s="9">
        <v>0</v>
      </c>
      <c r="K43" s="10">
        <v>45542</v>
      </c>
      <c r="L43" s="11">
        <v>0.46527777777777773</v>
      </c>
      <c r="M43" s="9" t="s">
        <v>265</v>
      </c>
    </row>
    <row r="44" spans="1:16">
      <c r="A44" s="9" t="s">
        <v>256</v>
      </c>
      <c r="B44" s="9" t="s">
        <v>257</v>
      </c>
      <c r="C44" s="9" t="s">
        <v>260</v>
      </c>
      <c r="D44" s="9" t="s">
        <v>266</v>
      </c>
      <c r="E44" s="9" t="s">
        <v>70</v>
      </c>
      <c r="F44" s="116">
        <v>-7800</v>
      </c>
      <c r="G44" s="9">
        <v>0</v>
      </c>
      <c r="H44" s="9">
        <v>0</v>
      </c>
      <c r="K44" s="10">
        <v>45543</v>
      </c>
      <c r="L44" s="11">
        <v>0.7104166666666667</v>
      </c>
      <c r="M44" s="9" t="s">
        <v>265</v>
      </c>
    </row>
    <row r="45" spans="1:16">
      <c r="A45" s="9" t="s">
        <v>256</v>
      </c>
      <c r="B45" s="9" t="s">
        <v>257</v>
      </c>
      <c r="C45" s="9" t="s">
        <v>260</v>
      </c>
      <c r="D45" s="9" t="s">
        <v>266</v>
      </c>
      <c r="E45" s="9" t="s">
        <v>70</v>
      </c>
      <c r="F45" s="116">
        <v>-23128</v>
      </c>
      <c r="G45" s="9">
        <v>0</v>
      </c>
      <c r="H45" s="9">
        <v>0</v>
      </c>
      <c r="K45" s="10">
        <v>45544</v>
      </c>
      <c r="L45" s="11">
        <v>0.7104166666666667</v>
      </c>
      <c r="M45" s="9" t="s">
        <v>265</v>
      </c>
    </row>
    <row r="46" spans="1:16">
      <c r="A46" s="9" t="s">
        <v>256</v>
      </c>
      <c r="B46" s="9" t="s">
        <v>257</v>
      </c>
      <c r="C46" s="9" t="s">
        <v>260</v>
      </c>
      <c r="D46" s="9" t="s">
        <v>266</v>
      </c>
      <c r="E46" s="9" t="s">
        <v>70</v>
      </c>
      <c r="F46" s="46">
        <v>-7260</v>
      </c>
      <c r="G46" s="9">
        <v>0</v>
      </c>
      <c r="H46" s="9">
        <v>0</v>
      </c>
      <c r="K46" s="10">
        <v>45545</v>
      </c>
      <c r="L46" s="11">
        <v>0.46319444444444446</v>
      </c>
      <c r="M46" s="9" t="s">
        <v>265</v>
      </c>
    </row>
  </sheetData>
  <phoneticPr fontId="1" type="noConversion"/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>
  <dimension ref="B2:R42"/>
  <sheetViews>
    <sheetView topLeftCell="A10" zoomScale="85" zoomScaleNormal="85" workbookViewId="0"/>
  </sheetViews>
  <sheetFormatPr defaultColWidth="9" defaultRowHeight="15.75"/>
  <cols>
    <col min="1" max="1" width="3.5" style="106" customWidth="1"/>
    <col min="2" max="2" width="18.625" style="106" bestFit="1" customWidth="1"/>
    <col min="3" max="3" width="14.25" style="106" bestFit="1" customWidth="1"/>
    <col min="4" max="4" width="9.25" style="106" bestFit="1" customWidth="1"/>
    <col min="5" max="5" width="7.5" style="106" customWidth="1"/>
    <col min="6" max="6" width="12.75" style="106" bestFit="1" customWidth="1"/>
    <col min="7" max="7" width="10.625" style="106" customWidth="1"/>
    <col min="8" max="8" width="9.25" style="106" bestFit="1" customWidth="1"/>
    <col min="9" max="9" width="7.5" style="106" customWidth="1"/>
    <col min="10" max="10" width="23.75" style="106" bestFit="1" customWidth="1"/>
    <col min="11" max="11" width="13.5" style="106" customWidth="1"/>
    <col min="12" max="12" width="9.25" style="106" bestFit="1" customWidth="1"/>
    <col min="13" max="14" width="5.75" style="106" bestFit="1" customWidth="1"/>
    <col min="15" max="15" width="5.125" style="106" bestFit="1" customWidth="1"/>
    <col min="16" max="16" width="34" style="106" bestFit="1" customWidth="1"/>
    <col min="17" max="17" width="14.25" style="106" bestFit="1" customWidth="1"/>
    <col min="18" max="18" width="35.5" style="106" bestFit="1" customWidth="1"/>
    <col min="19" max="16384" width="9" style="106"/>
  </cols>
  <sheetData>
    <row r="2" spans="2:17" ht="20.25">
      <c r="B2" s="294" t="s">
        <v>280</v>
      </c>
      <c r="C2" s="295"/>
      <c r="D2" s="295"/>
      <c r="E2" s="295"/>
      <c r="F2" s="295"/>
      <c r="G2" s="295"/>
      <c r="H2" s="295"/>
      <c r="I2" s="295"/>
      <c r="J2" s="104" t="s">
        <v>281</v>
      </c>
      <c r="K2" s="104">
        <f>流動性資產[[#Totals],[價值]]+流動性投資[[#Totals],[價值]]+非流動性投資[[#Totals],[價值]]+自用不動產[[#Totals],[價值]]+其他資產[[#Totals],[價值]]+M19</f>
        <v>140000</v>
      </c>
      <c r="L2" s="105"/>
      <c r="P2" s="106" t="s">
        <v>282</v>
      </c>
    </row>
    <row r="3" spans="2:17" ht="16.5" thickBot="1">
      <c r="B3" s="107" t="s">
        <v>283</v>
      </c>
      <c r="C3" s="107" t="s">
        <v>284</v>
      </c>
      <c r="D3" s="107" t="s">
        <v>285</v>
      </c>
      <c r="F3" s="107" t="s">
        <v>286</v>
      </c>
      <c r="G3" s="107" t="s">
        <v>284</v>
      </c>
      <c r="H3" s="107" t="s">
        <v>285</v>
      </c>
      <c r="J3" s="107" t="s">
        <v>287</v>
      </c>
      <c r="K3" s="107" t="s">
        <v>284</v>
      </c>
      <c r="L3" s="107" t="s">
        <v>285</v>
      </c>
      <c r="P3" s="111" t="s">
        <v>288</v>
      </c>
      <c r="Q3" s="112">
        <f>C4+C5</f>
        <v>10000</v>
      </c>
    </row>
    <row r="4" spans="2:17">
      <c r="B4" s="113" t="s">
        <v>289</v>
      </c>
      <c r="C4" s="204">
        <f>-SUMIFS(記帳區!$F:$F,記帳區!$E:$E,$B4)</f>
        <v>10000</v>
      </c>
      <c r="D4" s="208">
        <f>IFERROR(流動性資產[[#This Row],[價值]]/流動性資產[[#Totals],[價值]],0)</f>
        <v>1</v>
      </c>
      <c r="F4" s="114" t="s">
        <v>290</v>
      </c>
      <c r="G4" s="204">
        <f>-SUMIFS(記帳區!$F:$F,記帳區!$E:$E,$F4)</f>
        <v>0</v>
      </c>
      <c r="H4" s="207">
        <f>IFERROR(流動性投資[[#This Row],[價值]]/流動性投資[[#Totals],[價值]],0)</f>
        <v>0</v>
      </c>
      <c r="J4" s="122" t="s">
        <v>291</v>
      </c>
      <c r="K4" s="204">
        <v>110000</v>
      </c>
      <c r="L4" s="206">
        <f>IFERROR(其他資產[[#This Row],[價值]]/其他資產[[#Totals],[價值]],0)</f>
        <v>1</v>
      </c>
      <c r="P4" s="106" t="s">
        <v>289</v>
      </c>
      <c r="Q4" s="116"/>
    </row>
    <row r="5" spans="2:17">
      <c r="B5" s="114" t="s">
        <v>292</v>
      </c>
      <c r="C5" s="205">
        <f>-SUMIFS(記帳區!$F:$F,記帳區!$E:$E,$B5)</f>
        <v>0</v>
      </c>
      <c r="D5" s="207">
        <f>IFERROR(流動性資產[[#This Row],[價值]]/流動性資產[[#Totals],[價值]],0)</f>
        <v>0</v>
      </c>
      <c r="F5" s="114" t="s">
        <v>293</v>
      </c>
      <c r="G5" s="205">
        <f>-SUMIFS(記帳區!$F:$F,記帳區!$E:$E,$F5)</f>
        <v>20000</v>
      </c>
      <c r="H5" s="207">
        <f>IFERROR(流動性投資[[#This Row],[價值]]/流動性投資[[#Totals],[價值]],0)</f>
        <v>1</v>
      </c>
      <c r="J5" s="114" t="s">
        <v>294</v>
      </c>
      <c r="K5" s="205">
        <v>0</v>
      </c>
      <c r="L5" s="206">
        <f>IFERROR(其他資產[[#This Row],[價值]]/其他資產[[#Totals],[價值]],0)</f>
        <v>0</v>
      </c>
      <c r="P5" s="106" t="s">
        <v>295</v>
      </c>
      <c r="Q5" s="116"/>
    </row>
    <row r="6" spans="2:17">
      <c r="B6" s="114" t="s">
        <v>296</v>
      </c>
      <c r="C6" s="205">
        <f>-SUMIFS(記帳區!$F:$F,記帳區!$E:$E,$B6)</f>
        <v>0</v>
      </c>
      <c r="D6" s="207">
        <f>IFERROR(流動性資產[[#This Row],[價值]]/流動性資產[[#Totals],[價值]],0)</f>
        <v>0</v>
      </c>
      <c r="F6" s="114" t="s">
        <v>297</v>
      </c>
      <c r="G6" s="205">
        <f>-SUMIFS(記帳區!$F:$F,記帳區!$E:$E,$F6)</f>
        <v>0</v>
      </c>
      <c r="H6" s="207">
        <f>IFERROR(流動性投資[[#This Row],[價值]]/流動性投資[[#Totals],[價值]],0)</f>
        <v>0</v>
      </c>
      <c r="J6" s="114" t="s">
        <v>298</v>
      </c>
      <c r="K6" s="205">
        <v>0</v>
      </c>
      <c r="L6" s="206">
        <f>IFERROR(其他資產[[#This Row],[價值]]/其他資產[[#Totals],[價值]],0)</f>
        <v>0</v>
      </c>
      <c r="P6" s="111" t="s">
        <v>299</v>
      </c>
      <c r="Q6" s="112">
        <f>C6++C7+C8+K8</f>
        <v>0</v>
      </c>
    </row>
    <row r="7" spans="2:17">
      <c r="B7" s="114" t="s">
        <v>300</v>
      </c>
      <c r="C7" s="205">
        <f>-SUMIFS(記帳區!$F:$F,記帳區!$E:$E,$B7)</f>
        <v>0</v>
      </c>
      <c r="D7" s="207">
        <f>IFERROR(流動性資產[[#This Row],[價值]]/流動性資產[[#Totals],[價值]],0)</f>
        <v>0</v>
      </c>
      <c r="F7" s="114" t="s">
        <v>301</v>
      </c>
      <c r="G7" s="205">
        <f>-SUMIFS(記帳區!$F:$F,記帳區!$E:$E,$F7)</f>
        <v>0</v>
      </c>
      <c r="H7" s="207">
        <f>IFERROR(流動性投資[[#This Row],[價值]]/流動性投資[[#Totals],[價值]],0)</f>
        <v>0</v>
      </c>
      <c r="J7" s="114" t="s">
        <v>302</v>
      </c>
      <c r="K7" s="205">
        <v>0</v>
      </c>
      <c r="L7" s="206">
        <f>IFERROR(其他資產[[#This Row],[價值]]/其他資產[[#Totals],[價值]],0)</f>
        <v>0</v>
      </c>
      <c r="P7" s="106" t="s">
        <v>303</v>
      </c>
      <c r="Q7" s="116"/>
    </row>
    <row r="8" spans="2:17">
      <c r="B8" s="114" t="s">
        <v>304</v>
      </c>
      <c r="C8" s="205">
        <f>-SUMIFS(記帳區!$F:$F,記帳區!$E:$E,$B8)</f>
        <v>0</v>
      </c>
      <c r="D8" s="207">
        <f>IFERROR(流動性資產[[#This Row],[價值]]/流動性資產[[#Totals],[價值]],0)</f>
        <v>0</v>
      </c>
      <c r="F8" s="114" t="s">
        <v>305</v>
      </c>
      <c r="G8" s="205">
        <f>-SUMIFS(記帳區!$F:$F,記帳區!$E:$E,$F8)</f>
        <v>0</v>
      </c>
      <c r="H8" s="207">
        <f>IFERROR(流動性投資[[#This Row],[價值]]/流動性投資[[#Totals],[價值]],0)</f>
        <v>0</v>
      </c>
      <c r="J8" s="114" t="s">
        <v>306</v>
      </c>
      <c r="K8" s="205">
        <v>0</v>
      </c>
      <c r="L8" s="206">
        <f>IFERROR(其他資產[[#This Row],[價值]]/其他資產[[#Totals],[價值]],0)</f>
        <v>0</v>
      </c>
      <c r="P8" s="106" t="s">
        <v>307</v>
      </c>
      <c r="Q8" s="116"/>
    </row>
    <row r="9" spans="2:17">
      <c r="B9" s="114" t="s">
        <v>308</v>
      </c>
      <c r="C9" s="205">
        <f>-SUMIFS(記帳區!$F:$F,記帳區!$E:$E,$B9)</f>
        <v>0</v>
      </c>
      <c r="D9" s="209">
        <f>IFERROR(流動性資產[[#This Row],[價值]]/流動性資產[[#Totals],[價值]],0)</f>
        <v>0</v>
      </c>
      <c r="F9" s="114" t="s">
        <v>308</v>
      </c>
      <c r="G9" s="205">
        <f>-SUMIFS(記帳區!$F:$F,記帳區!$E:$E,$F9)</f>
        <v>0</v>
      </c>
      <c r="H9" s="207">
        <f>IFERROR(流動性投資[[#This Row],[價值]]/流動性投資[[#Totals],[價值]],0)</f>
        <v>0</v>
      </c>
      <c r="J9" s="114" t="s">
        <v>308</v>
      </c>
      <c r="K9" s="205">
        <v>0</v>
      </c>
      <c r="L9" s="206">
        <f>IFERROR(其他資產[[#This Row],[價值]]/其他資產[[#Totals],[價值]],0)</f>
        <v>0</v>
      </c>
      <c r="P9" s="106" t="s">
        <v>309</v>
      </c>
      <c r="Q9" s="116"/>
    </row>
    <row r="10" spans="2:17" ht="16.5" thickBot="1">
      <c r="B10" s="117" t="s">
        <v>310</v>
      </c>
      <c r="C10" s="117">
        <f>SUBTOTAL(109,[價值])</f>
        <v>10000</v>
      </c>
      <c r="D10" s="117"/>
      <c r="F10" s="117" t="s">
        <v>310</v>
      </c>
      <c r="G10" s="117">
        <f>SUBTOTAL(109,[價值])</f>
        <v>20000</v>
      </c>
      <c r="H10" s="117"/>
      <c r="J10" s="117" t="s">
        <v>310</v>
      </c>
      <c r="K10" s="117">
        <f>SUBTOTAL(109,[價值])</f>
        <v>110000</v>
      </c>
      <c r="L10" s="117"/>
      <c r="Q10" s="116"/>
    </row>
    <row r="11" spans="2:17">
      <c r="Q11" s="116"/>
    </row>
    <row r="12" spans="2:17">
      <c r="B12" s="121"/>
      <c r="C12" s="121"/>
      <c r="D12" s="121"/>
      <c r="H12" s="121"/>
      <c r="I12" s="121"/>
      <c r="J12" s="121"/>
      <c r="P12" s="106" t="s">
        <v>306</v>
      </c>
      <c r="Q12" s="116"/>
    </row>
    <row r="13" spans="2:17" ht="16.5" thickBot="1">
      <c r="B13" s="107" t="s">
        <v>311</v>
      </c>
      <c r="C13" s="107" t="s">
        <v>284</v>
      </c>
      <c r="D13" s="107" t="s">
        <v>285</v>
      </c>
      <c r="F13" s="108" t="s">
        <v>312</v>
      </c>
      <c r="G13" s="109" t="s">
        <v>284</v>
      </c>
      <c r="H13" s="110" t="s">
        <v>285</v>
      </c>
      <c r="J13" s="108" t="s">
        <v>313</v>
      </c>
      <c r="K13" s="109" t="s">
        <v>284</v>
      </c>
      <c r="L13" s="110" t="s">
        <v>285</v>
      </c>
      <c r="P13" s="111" t="s">
        <v>314</v>
      </c>
      <c r="Q13" s="112">
        <f>G4+G5</f>
        <v>20000</v>
      </c>
    </row>
    <row r="14" spans="2:17">
      <c r="B14" s="122" t="s">
        <v>315</v>
      </c>
      <c r="C14" s="204">
        <v>0</v>
      </c>
      <c r="D14" s="206">
        <f>IFERROR(自用不動產[[#This Row],[價值]]/自用不動產[[#Totals],[價值]],0)</f>
        <v>0</v>
      </c>
      <c r="F14" s="115" t="s">
        <v>316</v>
      </c>
      <c r="G14" s="204">
        <v>0</v>
      </c>
      <c r="H14" s="213">
        <f>IFERROR(非流動性投資[[#This Row],[價值]]/非流動性投資[[#Totals],[價值]],0)</f>
        <v>0</v>
      </c>
      <c r="J14" s="115" t="s">
        <v>317</v>
      </c>
      <c r="K14" s="204">
        <v>0</v>
      </c>
      <c r="L14" s="213">
        <f>IFERROR(升息資產[[#This Row],[價值]]/升息資產[[#Totals],[價值]],0)</f>
        <v>0</v>
      </c>
      <c r="P14" s="106" t="s">
        <v>46</v>
      </c>
      <c r="Q14" s="116"/>
    </row>
    <row r="15" spans="2:17">
      <c r="B15" s="114" t="s">
        <v>318</v>
      </c>
      <c r="C15" s="205">
        <v>0</v>
      </c>
      <c r="D15" s="207">
        <f>IFERROR(自用不動產[[#This Row],[價值]]/自用不動產[[#Totals],[價值]],0)</f>
        <v>0</v>
      </c>
      <c r="F15" s="115" t="s">
        <v>319</v>
      </c>
      <c r="G15" s="205">
        <v>0</v>
      </c>
      <c r="H15" s="213">
        <f>IFERROR(非流動性投資[[#This Row],[價值]]/非流動性投資[[#Totals],[價值]],0)</f>
        <v>0</v>
      </c>
      <c r="J15" s="115" t="s">
        <v>308</v>
      </c>
      <c r="K15" s="205">
        <v>0</v>
      </c>
      <c r="L15" s="213">
        <f>IFERROR(升息資產[[#This Row],[價值]]/升息資產[[#Totals],[價值]],0)</f>
        <v>0</v>
      </c>
      <c r="P15" s="106" t="s">
        <v>49</v>
      </c>
      <c r="Q15" s="116"/>
    </row>
    <row r="16" spans="2:17">
      <c r="B16" s="114" t="s">
        <v>320</v>
      </c>
      <c r="C16" s="205">
        <v>0</v>
      </c>
      <c r="D16" s="207">
        <f>IFERROR(自用不動產[[#This Row],[價值]]/自用不動產[[#Totals],[價值]],0)</f>
        <v>0</v>
      </c>
      <c r="F16" s="115" t="s">
        <v>321</v>
      </c>
      <c r="G16" s="205">
        <v>0</v>
      </c>
      <c r="H16" s="213">
        <f>IFERROR(非流動性投資[[#This Row],[價值]]/非流動性投資[[#Totals],[價值]],0)</f>
        <v>0</v>
      </c>
      <c r="J16" s="115"/>
      <c r="K16" s="114"/>
      <c r="L16" s="213">
        <f>IFERROR(升息資產[[#This Row],[價值]]/升息資產[[#Totals],[價值]],0)</f>
        <v>0</v>
      </c>
      <c r="P16" s="111" t="s">
        <v>322</v>
      </c>
      <c r="Q16" s="112">
        <f>G6+G7+G8+G14+G15</f>
        <v>0</v>
      </c>
    </row>
    <row r="17" spans="2:18">
      <c r="B17" s="114" t="s">
        <v>308</v>
      </c>
      <c r="C17" s="205">
        <v>0</v>
      </c>
      <c r="D17" s="207">
        <f>IFERROR(自用不動產[[#This Row],[價值]]/自用不動產[[#Totals],[價值]],0)</f>
        <v>0</v>
      </c>
      <c r="F17" s="115" t="s">
        <v>308</v>
      </c>
      <c r="G17" s="205">
        <v>0</v>
      </c>
      <c r="H17" s="213">
        <f>IFERROR(非流動性投資[[#This Row],[價值]]/非流動性投資[[#Totals],[價值]],0)</f>
        <v>0</v>
      </c>
      <c r="J17" s="115"/>
      <c r="K17" s="114"/>
      <c r="L17" s="213">
        <f>IFERROR(升息資產[[#This Row],[價值]]/升息資產[[#Totals],[價值]],0)</f>
        <v>0</v>
      </c>
      <c r="P17" s="106" t="s">
        <v>52</v>
      </c>
      <c r="Q17" s="116"/>
    </row>
    <row r="18" spans="2:18">
      <c r="B18" s="114"/>
      <c r="C18" s="205">
        <v>0</v>
      </c>
      <c r="D18" s="207">
        <f>IFERROR(自用不動產[[#This Row],[價值]]/自用不動產[[#Totals],[價值]],0)</f>
        <v>0</v>
      </c>
      <c r="F18" s="115"/>
      <c r="G18" s="114"/>
      <c r="H18" s="213">
        <f>IFERROR(非流動性投資[[#This Row],[價值]]/非流動性投資[[#Totals],[價值]],0)</f>
        <v>0</v>
      </c>
      <c r="J18" s="115"/>
      <c r="K18" s="114"/>
      <c r="L18" s="213">
        <f>IFERROR(升息資產[[#This Row],[價值]]/升息資產[[#Totals],[價值]],0)</f>
        <v>0</v>
      </c>
      <c r="P18" s="106" t="s">
        <v>54</v>
      </c>
    </row>
    <row r="19" spans="2:18" ht="16.5" thickBot="1">
      <c r="B19" s="117" t="s">
        <v>310</v>
      </c>
      <c r="C19" s="117">
        <f>SUBTOTAL(109,[價值])</f>
        <v>0</v>
      </c>
      <c r="D19" s="117"/>
      <c r="F19" s="118" t="s">
        <v>310</v>
      </c>
      <c r="G19" s="119">
        <f>SUBTOTAL(109,[價值])</f>
        <v>0</v>
      </c>
      <c r="H19" s="120"/>
      <c r="J19" s="118" t="s">
        <v>310</v>
      </c>
      <c r="K19" s="119">
        <f>SUBTOTAL(109,[價值])</f>
        <v>0</v>
      </c>
      <c r="L19" s="120"/>
      <c r="P19" s="106" t="s">
        <v>56</v>
      </c>
    </row>
    <row r="20" spans="2:18">
      <c r="J20" s="121"/>
      <c r="K20" s="121"/>
      <c r="L20" s="121"/>
      <c r="P20" s="106" t="s">
        <v>58</v>
      </c>
    </row>
    <row r="21" spans="2:18" ht="20.25">
      <c r="B21" s="296" t="s">
        <v>323</v>
      </c>
      <c r="C21" s="297"/>
      <c r="D21" s="297"/>
      <c r="E21" s="297"/>
      <c r="F21" s="297"/>
      <c r="G21" s="297"/>
      <c r="H21" s="297"/>
      <c r="I21" s="297"/>
      <c r="J21" s="123" t="s">
        <v>324</v>
      </c>
      <c r="K21" s="123">
        <f>壓榨性債務[[#Totals],[價值]]+功能性債務[[#Totals],[價值]]</f>
        <v>3435680</v>
      </c>
      <c r="L21" s="124"/>
      <c r="P21" s="106" t="s">
        <v>60</v>
      </c>
    </row>
    <row r="22" spans="2:18" ht="16.5" thickBot="1">
      <c r="B22" s="125" t="s">
        <v>325</v>
      </c>
      <c r="C22" s="126" t="s">
        <v>284</v>
      </c>
      <c r="D22" s="127" t="s">
        <v>285</v>
      </c>
      <c r="E22" s="128" t="s">
        <v>326</v>
      </c>
      <c r="F22" s="129" t="s">
        <v>327</v>
      </c>
      <c r="J22" s="125" t="s">
        <v>328</v>
      </c>
      <c r="K22" s="126" t="s">
        <v>284</v>
      </c>
      <c r="L22" s="127" t="s">
        <v>285</v>
      </c>
    </row>
    <row r="23" spans="2:18">
      <c r="B23" s="100" t="s">
        <v>329</v>
      </c>
      <c r="C23" s="204">
        <v>72230</v>
      </c>
      <c r="D23" s="210">
        <f>IFERROR(壓榨性債務[[#This Row],[價值]]/壓榨性債務[[#Totals],[價值]],0)</f>
        <v>2.1023494621152144E-2</v>
      </c>
      <c r="E23" s="130">
        <v>6000</v>
      </c>
      <c r="F23" s="100"/>
      <c r="J23" s="131" t="s">
        <v>78</v>
      </c>
      <c r="K23" s="204">
        <v>0</v>
      </c>
      <c r="L23" s="214">
        <f>IFERROR(功能性債務[[#This Row],[價值]]/功能性債務[[#Totals],[價值]],0)</f>
        <v>0</v>
      </c>
      <c r="R23" s="106" t="s">
        <v>330</v>
      </c>
    </row>
    <row r="24" spans="2:18">
      <c r="B24" s="101" t="s">
        <v>331</v>
      </c>
      <c r="C24" s="205">
        <v>7887</v>
      </c>
      <c r="D24" s="211">
        <f>IFERROR(壓榨性債務[[#This Row],[價值]]/壓榨性債務[[#Totals],[價值]],0)</f>
        <v>2.2956154240208635E-3</v>
      </c>
      <c r="E24" s="132">
        <v>3000</v>
      </c>
      <c r="F24" s="101"/>
      <c r="J24" s="133" t="s">
        <v>79</v>
      </c>
      <c r="K24" s="205">
        <v>0</v>
      </c>
      <c r="L24" s="215">
        <f>IFERROR(功能性債務[[#This Row],[價值]]/功能性債務[[#Totals],[價值]],0)</f>
        <v>0</v>
      </c>
      <c r="P24" s="106" t="s">
        <v>332</v>
      </c>
      <c r="Q24" s="216">
        <f>流動性資產[[#Totals],[價值]]/壓榨性債務[[#Totals],[價值]]</f>
        <v>2.9106319564103757E-3</v>
      </c>
      <c r="R24" s="106" t="s">
        <v>333</v>
      </c>
    </row>
    <row r="25" spans="2:18">
      <c r="B25" s="101" t="s">
        <v>334</v>
      </c>
      <c r="C25" s="205">
        <v>252574</v>
      </c>
      <c r="D25" s="211">
        <f>IFERROR(壓榨性債務[[#This Row],[價值]]/壓榨性債務[[#Totals],[價值]],0)</f>
        <v>7.3514995575839431E-2</v>
      </c>
      <c r="E25" s="132">
        <v>5177</v>
      </c>
      <c r="F25" s="203">
        <v>48111</v>
      </c>
      <c r="J25" s="133" t="s">
        <v>335</v>
      </c>
      <c r="K25" s="205">
        <v>0</v>
      </c>
      <c r="L25" s="215">
        <f>IFERROR(功能性債務[[#This Row],[價值]]/功能性債務[[#Totals],[價值]],0)</f>
        <v>0</v>
      </c>
      <c r="P25" s="106" t="s">
        <v>336</v>
      </c>
    </row>
    <row r="26" spans="2:18">
      <c r="B26" s="101" t="s">
        <v>334</v>
      </c>
      <c r="C26" s="205">
        <v>1459626</v>
      </c>
      <c r="D26" s="211">
        <f>IFERROR(壓榨性債務[[#This Row],[價值]]/壓榨性債務[[#Totals],[價值]],0)</f>
        <v>0.4248434080007451</v>
      </c>
      <c r="E26" s="132">
        <v>29911</v>
      </c>
      <c r="F26" s="203">
        <v>48111</v>
      </c>
      <c r="J26" s="133"/>
      <c r="K26" s="132"/>
      <c r="L26" s="215">
        <f>IFERROR(功能性債務[[#This Row],[價值]]/功能性債務[[#Totals],[價值]],0)</f>
        <v>0</v>
      </c>
      <c r="P26" s="106" t="s">
        <v>337</v>
      </c>
    </row>
    <row r="27" spans="2:18">
      <c r="B27" s="101" t="s">
        <v>338</v>
      </c>
      <c r="C27" s="205">
        <v>31553</v>
      </c>
      <c r="D27" s="211">
        <f>IFERROR(壓榨性債務[[#This Row],[價值]]/壓榨性債務[[#Totals],[價值]],0)</f>
        <v>9.1839170120616587E-3</v>
      </c>
      <c r="E27" s="132">
        <v>1456</v>
      </c>
      <c r="F27" s="203">
        <v>46568</v>
      </c>
      <c r="J27" s="133"/>
      <c r="K27" s="132"/>
      <c r="L27" s="215">
        <f>IFERROR(功能性債務[[#This Row],[價值]]/功能性債務[[#Totals],[價值]],0)</f>
        <v>0</v>
      </c>
      <c r="P27" s="106" t="s">
        <v>339</v>
      </c>
    </row>
    <row r="28" spans="2:18" ht="16.5" thickBot="1">
      <c r="B28" s="101" t="s">
        <v>340</v>
      </c>
      <c r="C28" s="205">
        <v>17622</v>
      </c>
      <c r="D28" s="211">
        <f>IFERROR(壓榨性債務[[#This Row],[價值]]/壓榨性債務[[#Totals],[價值]],0)</f>
        <v>5.129115633586364E-3</v>
      </c>
      <c r="E28" s="132">
        <v>2937</v>
      </c>
      <c r="F28" s="203">
        <v>46016</v>
      </c>
      <c r="J28" s="134" t="s">
        <v>310</v>
      </c>
      <c r="K28" s="135">
        <f>SUBTOTAL(109,[價值])</f>
        <v>0</v>
      </c>
      <c r="L28" s="134"/>
    </row>
    <row r="29" spans="2:18">
      <c r="B29" s="101" t="s">
        <v>341</v>
      </c>
      <c r="C29" s="205">
        <v>66700</v>
      </c>
      <c r="D29" s="211">
        <f>IFERROR(壓榨性債務[[#This Row],[價值]]/壓榨性債務[[#Totals],[價值]],0)</f>
        <v>1.9413915149257208E-2</v>
      </c>
      <c r="E29" s="101">
        <v>7800</v>
      </c>
      <c r="F29" s="203">
        <v>46104</v>
      </c>
      <c r="G29" s="121"/>
      <c r="H29" s="121"/>
      <c r="P29" s="106" t="s">
        <v>342</v>
      </c>
      <c r="Q29" s="216">
        <f>K21/K2</f>
        <v>24.540571428571429</v>
      </c>
      <c r="R29" s="106" t="s">
        <v>343</v>
      </c>
    </row>
    <row r="30" spans="2:18" ht="16.5" thickBot="1">
      <c r="B30" s="131" t="s">
        <v>78</v>
      </c>
      <c r="C30" s="205">
        <v>1295168</v>
      </c>
      <c r="D30" s="211">
        <f>IFERROR(壓榨性債務[[#This Row],[價值]]/壓榨性債務[[#Totals],[價值]],0)</f>
        <v>0.37697573697201137</v>
      </c>
      <c r="E30" s="101">
        <v>23128</v>
      </c>
      <c r="F30" s="203">
        <v>47547</v>
      </c>
      <c r="J30" s="125" t="s">
        <v>344</v>
      </c>
      <c r="K30" s="126" t="s">
        <v>284</v>
      </c>
      <c r="L30" s="127" t="s">
        <v>285</v>
      </c>
      <c r="P30" s="106" t="s">
        <v>345</v>
      </c>
    </row>
    <row r="31" spans="2:18">
      <c r="B31" s="101" t="s">
        <v>346</v>
      </c>
      <c r="C31" s="205">
        <v>232320</v>
      </c>
      <c r="D31" s="211">
        <f>IFERROR(壓榨性債務[[#This Row],[價值]]/壓榨性債務[[#Totals],[價值]],0)</f>
        <v>6.7619801611325844E-2</v>
      </c>
      <c r="E31" s="101">
        <v>7260</v>
      </c>
      <c r="F31" s="203">
        <v>46693</v>
      </c>
      <c r="J31" s="133" t="s">
        <v>347</v>
      </c>
      <c r="K31" s="204">
        <v>0</v>
      </c>
      <c r="L31" s="214">
        <f>IFERROR(致富性債務[[#This Row],[價值]]/致富性債務[[#Totals],[價值]],0)</f>
        <v>0</v>
      </c>
      <c r="P31" s="106" t="s">
        <v>348</v>
      </c>
    </row>
    <row r="32" spans="2:18">
      <c r="B32" s="136"/>
      <c r="C32" s="136"/>
      <c r="D32" s="212">
        <f>IFERROR(壓榨性債務[[#This Row],[價值]]/壓榨性債務[[#Totals],[價值]],0)</f>
        <v>0</v>
      </c>
      <c r="E32" s="136"/>
      <c r="F32" s="136"/>
      <c r="J32" s="133" t="s">
        <v>349</v>
      </c>
      <c r="K32" s="205">
        <v>0</v>
      </c>
      <c r="L32" s="215">
        <f>IFERROR(致富性債務[[#This Row],[價值]]/致富性債務[[#Totals],[價值]],0)</f>
        <v>0</v>
      </c>
      <c r="P32" s="106" t="s">
        <v>350</v>
      </c>
    </row>
    <row r="33" spans="2:18">
      <c r="B33" s="137" t="s">
        <v>310</v>
      </c>
      <c r="C33" s="138">
        <f>SUBTOTAL(109,[價值])</f>
        <v>3435680</v>
      </c>
      <c r="D33" s="139"/>
      <c r="E33" s="77">
        <f>SUBTOTAL(109,[月繳])</f>
        <v>86669</v>
      </c>
      <c r="F33" s="77"/>
      <c r="J33" s="133" t="s">
        <v>351</v>
      </c>
      <c r="K33" s="205">
        <v>0</v>
      </c>
      <c r="L33" s="215">
        <f>IFERROR(致富性債務[[#This Row],[價值]]/致富性債務[[#Totals],[價值]],0)</f>
        <v>0</v>
      </c>
      <c r="P33" s="106" t="s">
        <v>352</v>
      </c>
    </row>
    <row r="34" spans="2:18">
      <c r="J34" s="133" t="s">
        <v>353</v>
      </c>
      <c r="K34" s="205">
        <v>0</v>
      </c>
      <c r="L34" s="215">
        <f>IFERROR(致富性債務[[#This Row],[價值]]/致富性債務[[#Totals],[價值]],0)</f>
        <v>0</v>
      </c>
      <c r="P34" s="106" t="s">
        <v>354</v>
      </c>
    </row>
    <row r="35" spans="2:18">
      <c r="J35" s="133" t="s">
        <v>355</v>
      </c>
      <c r="K35" s="205">
        <v>0</v>
      </c>
      <c r="L35" s="215">
        <f>IFERROR(致富性債務[[#This Row],[價值]]/致富性債務[[#Totals],[價值]],0)</f>
        <v>0</v>
      </c>
      <c r="P35" s="106" t="s">
        <v>356</v>
      </c>
      <c r="Q35" s="216" t="e">
        <f ca="1">流動性資產[[#Totals],[價值]]/'現金流量表 (手打、整合)'!E7</f>
        <v>#NAME?</v>
      </c>
      <c r="R35" s="106" t="s">
        <v>357</v>
      </c>
    </row>
    <row r="36" spans="2:18" ht="16.5" thickBot="1">
      <c r="J36" s="134" t="s">
        <v>310</v>
      </c>
      <c r="K36" s="135">
        <f>SUBTOTAL(109,[價值])</f>
        <v>0</v>
      </c>
      <c r="L36" s="134"/>
      <c r="P36" s="106" t="s">
        <v>358</v>
      </c>
    </row>
    <row r="37" spans="2:18">
      <c r="P37" s="106" t="s">
        <v>359</v>
      </c>
    </row>
    <row r="38" spans="2:18">
      <c r="P38" s="106" t="s">
        <v>360</v>
      </c>
    </row>
    <row r="39" spans="2:18">
      <c r="P39" s="106" t="s">
        <v>361</v>
      </c>
    </row>
    <row r="40" spans="2:18">
      <c r="P40" s="106" t="s">
        <v>362</v>
      </c>
    </row>
    <row r="41" spans="2:18">
      <c r="P41" s="106" t="s">
        <v>363</v>
      </c>
    </row>
    <row r="42" spans="2:18">
      <c r="P42" s="106" t="s">
        <v>361</v>
      </c>
    </row>
  </sheetData>
  <mergeCells count="2">
    <mergeCell ref="B2:I2"/>
    <mergeCell ref="B21:I21"/>
  </mergeCells>
  <phoneticPr fontId="3" type="noConversion"/>
  <pageMargins left="0.7" right="0.7" top="0.75" bottom="0.75" header="0.3" footer="0.3"/>
  <tableParts count="9">
    <tablePart r:id="rId1"/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0"/>
  </sheetPr>
  <dimension ref="B2:S522"/>
  <sheetViews>
    <sheetView tabSelected="1" topLeftCell="A44" zoomScale="115" zoomScaleNormal="115" workbookViewId="0">
      <selection activeCell="D52" sqref="D52"/>
    </sheetView>
  </sheetViews>
  <sheetFormatPr defaultColWidth="8.75" defaultRowHeight="15.75" outlineLevelRow="1"/>
  <cols>
    <col min="1" max="1" width="2.625" style="77" customWidth="1"/>
    <col min="2" max="2" width="4.625" style="77" bestFit="1" customWidth="1"/>
    <col min="3" max="3" width="3.5" style="77" bestFit="1" customWidth="1"/>
    <col min="4" max="4" width="12.5" style="77" bestFit="1" customWidth="1"/>
    <col min="5" max="6" width="8.625" style="77" customWidth="1"/>
    <col min="7" max="7" width="10.5" style="77" bestFit="1" customWidth="1"/>
    <col min="8" max="8" width="10.75" style="77" bestFit="1" customWidth="1"/>
    <col min="9" max="9" width="10.25" style="77" bestFit="1" customWidth="1"/>
    <col min="10" max="12" width="11.5" style="77" bestFit="1" customWidth="1"/>
    <col min="13" max="15" width="10.25" style="77" bestFit="1" customWidth="1"/>
    <col min="16" max="16" width="10.5" style="77" bestFit="1" customWidth="1"/>
    <col min="17" max="17" width="10.25" style="77" bestFit="1" customWidth="1"/>
    <col min="18" max="18" width="10.5" style="77" bestFit="1" customWidth="1"/>
    <col min="19" max="19" width="10.25" style="77" bestFit="1" customWidth="1"/>
    <col min="20" max="16384" width="8.75" style="77"/>
  </cols>
  <sheetData>
    <row r="2" spans="2:19" ht="20.25">
      <c r="D2" s="78" t="s">
        <v>433</v>
      </c>
      <c r="E2" s="79" t="s">
        <v>366</v>
      </c>
      <c r="F2" s="79" t="s">
        <v>434</v>
      </c>
      <c r="G2" s="80">
        <v>45839</v>
      </c>
      <c r="H2" s="80">
        <f>EDATE(G2,1)</f>
        <v>45870</v>
      </c>
      <c r="I2" s="80">
        <f t="shared" ref="I2:S2" si="0">EDATE(H2,1)</f>
        <v>45901</v>
      </c>
      <c r="J2" s="80">
        <f t="shared" si="0"/>
        <v>45931</v>
      </c>
      <c r="K2" s="80">
        <f t="shared" si="0"/>
        <v>45962</v>
      </c>
      <c r="L2" s="80">
        <f t="shared" si="0"/>
        <v>45992</v>
      </c>
      <c r="M2" s="80">
        <f t="shared" si="0"/>
        <v>46023</v>
      </c>
      <c r="N2" s="80">
        <f t="shared" si="0"/>
        <v>46054</v>
      </c>
      <c r="O2" s="80">
        <f t="shared" si="0"/>
        <v>46082</v>
      </c>
      <c r="P2" s="80">
        <f t="shared" si="0"/>
        <v>46113</v>
      </c>
      <c r="Q2" s="80">
        <f t="shared" si="0"/>
        <v>46143</v>
      </c>
      <c r="R2" s="80">
        <f t="shared" si="0"/>
        <v>46174</v>
      </c>
      <c r="S2" s="80">
        <f t="shared" si="0"/>
        <v>46204</v>
      </c>
    </row>
    <row r="3" spans="2:19" ht="20.25">
      <c r="D3" s="78" t="s">
        <v>368</v>
      </c>
      <c r="E3" s="79"/>
      <c r="F3" s="79">
        <v>0</v>
      </c>
      <c r="G3" s="81">
        <f>F3+G4</f>
        <v>-89753</v>
      </c>
      <c r="H3" s="81">
        <f t="shared" ref="H3:S3" si="1">G3+H4</f>
        <v>-176930</v>
      </c>
      <c r="I3" s="81">
        <f t="shared" si="1"/>
        <v>-176930</v>
      </c>
      <c r="J3" s="81">
        <f t="shared" si="1"/>
        <v>-176930</v>
      </c>
      <c r="K3" s="81">
        <f t="shared" si="1"/>
        <v>-176930</v>
      </c>
      <c r="L3" s="81">
        <f t="shared" si="1"/>
        <v>-176930</v>
      </c>
      <c r="M3" s="81">
        <f t="shared" si="1"/>
        <v>-176930</v>
      </c>
      <c r="N3" s="81">
        <f t="shared" si="1"/>
        <v>-176930</v>
      </c>
      <c r="O3" s="81">
        <f t="shared" si="1"/>
        <v>-176930</v>
      </c>
      <c r="P3" s="81">
        <f t="shared" si="1"/>
        <v>-176930</v>
      </c>
      <c r="Q3" s="81">
        <f t="shared" si="1"/>
        <v>-176930</v>
      </c>
      <c r="R3" s="81">
        <f t="shared" si="1"/>
        <v>-176930</v>
      </c>
      <c r="S3" s="81">
        <f t="shared" si="1"/>
        <v>-176930</v>
      </c>
    </row>
    <row r="4" spans="2:19" ht="21" thickBot="1">
      <c r="D4" s="78" t="s">
        <v>369</v>
      </c>
      <c r="E4" s="79"/>
      <c r="F4" s="79"/>
      <c r="G4" s="81">
        <f t="shared" ref="G4:S4" si="2">G5+G70+G22</f>
        <v>-89753</v>
      </c>
      <c r="H4" s="81">
        <f t="shared" si="2"/>
        <v>-87177</v>
      </c>
      <c r="I4" s="81">
        <f t="shared" si="2"/>
        <v>0</v>
      </c>
      <c r="J4" s="81">
        <f t="shared" si="2"/>
        <v>0</v>
      </c>
      <c r="K4" s="81">
        <f t="shared" si="2"/>
        <v>0</v>
      </c>
      <c r="L4" s="81">
        <f t="shared" si="2"/>
        <v>0</v>
      </c>
      <c r="M4" s="81">
        <f t="shared" si="2"/>
        <v>0</v>
      </c>
      <c r="N4" s="81">
        <f t="shared" si="2"/>
        <v>0</v>
      </c>
      <c r="O4" s="81">
        <f t="shared" si="2"/>
        <v>0</v>
      </c>
      <c r="P4" s="81">
        <f t="shared" si="2"/>
        <v>0</v>
      </c>
      <c r="Q4" s="81">
        <f t="shared" si="2"/>
        <v>0</v>
      </c>
      <c r="R4" s="81">
        <f t="shared" si="2"/>
        <v>0</v>
      </c>
      <c r="S4" s="81">
        <f t="shared" si="2"/>
        <v>0</v>
      </c>
    </row>
    <row r="5" spans="2:19" ht="17.100000000000001" customHeight="1">
      <c r="B5" s="312" t="s">
        <v>370</v>
      </c>
      <c r="C5" s="312"/>
      <c r="D5" s="82" t="s">
        <v>371</v>
      </c>
      <c r="E5" s="83">
        <f>SUM(E6+E9+E12+E15+E20)</f>
        <v>76000</v>
      </c>
      <c r="F5" s="83"/>
      <c r="G5" s="84">
        <f t="shared" ref="G5" si="3">SUM(G6+G9+G12+G15+G20)</f>
        <v>0</v>
      </c>
      <c r="H5" s="84">
        <f t="shared" ref="H5:I5" si="4">SUM(H6+H9+H12+H15+H20)</f>
        <v>20000</v>
      </c>
      <c r="I5" s="84">
        <f t="shared" si="4"/>
        <v>0</v>
      </c>
      <c r="J5" s="84">
        <f t="shared" ref="J5" si="5">SUM(J6+J9+J12+J15+J20)</f>
        <v>0</v>
      </c>
      <c r="K5" s="84">
        <f t="shared" ref="K5" si="6">SUM(K6+K9+K12+K15+K20)</f>
        <v>0</v>
      </c>
      <c r="L5" s="84">
        <f t="shared" ref="L5" si="7">SUM(L6+L9+L12+L15+L20)</f>
        <v>0</v>
      </c>
      <c r="M5" s="84">
        <f t="shared" ref="M5" si="8">SUM(M6+M9+M12+M15+M20)</f>
        <v>0</v>
      </c>
      <c r="N5" s="84">
        <f t="shared" ref="N5" si="9">SUM(N6+N9+N12+N15+N20)</f>
        <v>0</v>
      </c>
      <c r="O5" s="84">
        <f t="shared" ref="O5" si="10">SUM(O6+O9+O12+O15+O20)</f>
        <v>0</v>
      </c>
      <c r="P5" s="84">
        <f t="shared" ref="P5" si="11">SUM(P6+P9+P12+P15+P20)</f>
        <v>0</v>
      </c>
      <c r="Q5" s="84">
        <f t="shared" ref="Q5" si="12">SUM(Q6+Q9+Q12+Q15+Q20)</f>
        <v>0</v>
      </c>
      <c r="R5" s="84">
        <f t="shared" ref="R5" si="13">SUM(R6+R9+R12+R15+R20)</f>
        <v>0</v>
      </c>
      <c r="S5" s="84">
        <f t="shared" ref="S5" si="14">SUM(S6+S9+S12+S15+S20)</f>
        <v>0</v>
      </c>
    </row>
    <row r="6" spans="2:19" ht="15.6" customHeight="1">
      <c r="B6" s="313"/>
      <c r="C6" s="313"/>
      <c r="D6" s="82" t="s">
        <v>435</v>
      </c>
      <c r="E6" s="85">
        <v>76000</v>
      </c>
      <c r="F6" s="86"/>
      <c r="G6" s="84">
        <f>SUMIFS(記帳區!$F:$F,記帳區!$K:$K,"&gt;=" &amp; EOMONTH(G2,-1) + 1,記帳區!$K:$K,"&lt;=" &amp; EOMONTH(G2, 0),記帳區!$D:$D,$D6)</f>
        <v>0</v>
      </c>
      <c r="H6" s="84">
        <f>SUMIFS(記帳區!$F:$F,記帳區!$K:$K,"&gt;=" &amp; EOMONTH(H2,-1) + 1,記帳區!$K:$K,"&lt;=" &amp; EOMONTH(H2, 0),記帳區!$D:$D,$D6)</f>
        <v>0</v>
      </c>
      <c r="I6" s="84">
        <f>SUMIFS(記帳區!$F:$F,記帳區!$K:$K,"&gt;=" &amp; EOMONTH(I2,-1) + 1,記帳區!$K:$K,"&lt;=" &amp; EOMONTH(I2, 0),記帳區!$D:$D,$D6)</f>
        <v>0</v>
      </c>
      <c r="J6" s="84">
        <f>SUMIFS(記帳區!$F:$F,記帳區!$K:$K,"&gt;=" &amp; EOMONTH(J2,-1) + 1,記帳區!$K:$K,"&lt;=" &amp; EOMONTH(J2, 0),記帳區!$D:$D,$D6)</f>
        <v>0</v>
      </c>
      <c r="K6" s="84">
        <f>SUMIFS(記帳區!$F:$F,記帳區!$K:$K,"&gt;=" &amp; EOMONTH(K2,-1) + 1,記帳區!$K:$K,"&lt;=" &amp; EOMONTH(K2, 0),記帳區!$D:$D,$D6)</f>
        <v>0</v>
      </c>
      <c r="L6" s="84">
        <f>SUMIFS(記帳區!$F:$F,記帳區!$K:$K,"&gt;=" &amp; EOMONTH(L2,-1) + 1,記帳區!$K:$K,"&lt;=" &amp; EOMONTH(L2, 0),記帳區!$D:$D,$D6)</f>
        <v>0</v>
      </c>
      <c r="M6" s="84">
        <f>SUMIFS(記帳區!$F:$F,記帳區!$K:$K,"&gt;=" &amp; EOMONTH(M2,-1) + 1,記帳區!$K:$K,"&lt;=" &amp; EOMONTH(M2, 0),記帳區!$D:$D,$D6)</f>
        <v>0</v>
      </c>
      <c r="N6" s="84">
        <f>SUMIFS(記帳區!$F:$F,記帳區!$K:$K,"&gt;=" &amp; EOMONTH(N2,-1) + 1,記帳區!$K:$K,"&lt;=" &amp; EOMONTH(N2, 0),記帳區!$D:$D,$D6)</f>
        <v>0</v>
      </c>
      <c r="O6" s="84">
        <f>SUMIFS(記帳區!$F:$F,記帳區!$K:$K,"&gt;=" &amp; EOMONTH(O2,-1) + 1,記帳區!$K:$K,"&lt;=" &amp; EOMONTH(O2, 0),記帳區!$D:$D,$D6)</f>
        <v>0</v>
      </c>
      <c r="P6" s="84">
        <f>SUMIFS(記帳區!$F:$F,記帳區!$K:$K,"&gt;=" &amp; EOMONTH(P2,-1) + 1,記帳區!$K:$K,"&lt;=" &amp; EOMONTH(P2, 0),記帳區!$D:$D,$D6)</f>
        <v>0</v>
      </c>
      <c r="Q6" s="84">
        <f>SUMIFS(記帳區!$F:$F,記帳區!$K:$K,"&gt;=" &amp; EOMONTH(Q2,-1) + 1,記帳區!$K:$K,"&lt;=" &amp; EOMONTH(Q2, 0),記帳區!$D:$D,$D6)</f>
        <v>0</v>
      </c>
      <c r="R6" s="84">
        <f>SUMIFS(記帳區!$F:$F,記帳區!$K:$K,"&gt;=" &amp; EOMONTH(R2,-1) + 1,記帳區!$K:$K,"&lt;=" &amp; EOMONTH(R2, 0),記帳區!$D:$D,$D6)</f>
        <v>0</v>
      </c>
      <c r="S6" s="84">
        <f>SUMIFS(記帳區!$F:$F,記帳區!$K:$K,"&gt;=" &amp; EOMONTH(S2,-1) + 1,記帳區!$K:$K,"&lt;=" &amp; EOMONTH(S2, 0),記帳區!$D:$D,$D6)</f>
        <v>0</v>
      </c>
    </row>
    <row r="7" spans="2:19" ht="15.6" customHeight="1" outlineLevel="1">
      <c r="B7" s="313"/>
      <c r="C7" s="313"/>
      <c r="D7" s="87" t="s">
        <v>117</v>
      </c>
      <c r="E7" s="87"/>
      <c r="F7" s="88"/>
      <c r="G7" s="81">
        <f>SUMIFS(記帳區!$F:$F,記帳區!$K:$K,"&gt;=" &amp; EOMONTH(G2,-1) + 1,記帳區!$K:$K,"&lt;=" &amp; EOMONTH(G2, 0),記帳區!$E:$E,$D7)</f>
        <v>71244</v>
      </c>
      <c r="H7" s="81">
        <f>SUMIFS(記帳區!$F:$F,記帳區!$K:$K,"&gt;=" &amp; EOMONTH(H$2,-1) + 1,記帳區!$K:$K,"&lt;=" &amp; EOMONTH(H$2, 0),記帳區!$E:$E,$D7)</f>
        <v>71244</v>
      </c>
      <c r="I7" s="81">
        <f>SUMIFS(記帳區!$F:$F,記帳區!$K:$K,"&gt;=" &amp; EOMONTH(I$2,-1) + 1,記帳區!$K:$K,"&lt;=" &amp; EOMONTH(I$2, 0),記帳區!$E:$E,$D7)</f>
        <v>0</v>
      </c>
      <c r="J7" s="81">
        <f>SUMIFS(記帳區!$F:$F,記帳區!$K:$K,"&gt;=" &amp; EOMONTH(J$2,-1) + 1,記帳區!$K:$K,"&lt;=" &amp; EOMONTH(J$2, 0),記帳區!$E:$E,$D7)</f>
        <v>0</v>
      </c>
      <c r="K7" s="81">
        <f>SUMIFS(記帳區!$F:$F,記帳區!$K:$K,"&gt;=" &amp; EOMONTH(K$2,-1) + 1,記帳區!$K:$K,"&lt;=" &amp; EOMONTH(K$2, 0),記帳區!$E:$E,$D7)</f>
        <v>0</v>
      </c>
      <c r="L7" s="81">
        <f>SUMIFS(記帳區!$F:$F,記帳區!$K:$K,"&gt;=" &amp; EOMONTH(L$2,-1) + 1,記帳區!$K:$K,"&lt;=" &amp; EOMONTH(L$2, 0),記帳區!$E:$E,$D7)</f>
        <v>0</v>
      </c>
      <c r="M7" s="81">
        <f>SUMIFS(記帳區!$F:$F,記帳區!$K:$K,"&gt;=" &amp; EOMONTH(M$2,-1) + 1,記帳區!$K:$K,"&lt;=" &amp; EOMONTH(M$2, 0),記帳區!$E:$E,$D7)</f>
        <v>0</v>
      </c>
      <c r="N7" s="81">
        <f>SUMIFS(記帳區!$F:$F,記帳區!$K:$K,"&gt;=" &amp; EOMONTH(N$2,-1) + 1,記帳區!$K:$K,"&lt;=" &amp; EOMONTH(N$2, 0),記帳區!$E:$E,$D7)</f>
        <v>0</v>
      </c>
      <c r="O7" s="81">
        <f>SUMIFS(記帳區!$F:$F,記帳區!$K:$K,"&gt;=" &amp; EOMONTH(O$2,-1) + 1,記帳區!$K:$K,"&lt;=" &amp; EOMONTH(O$2, 0),記帳區!$E:$E,$D7)</f>
        <v>0</v>
      </c>
      <c r="P7" s="81">
        <f>SUMIFS(記帳區!$F:$F,記帳區!$K:$K,"&gt;=" &amp; EOMONTH(P$2,-1) + 1,記帳區!$K:$K,"&lt;=" &amp; EOMONTH(P$2, 0),記帳區!$E:$E,$D7)</f>
        <v>0</v>
      </c>
      <c r="Q7" s="81">
        <f>SUMIFS(記帳區!$F:$F,記帳區!$K:$K,"&gt;=" &amp; EOMONTH(Q$2,-1) + 1,記帳區!$K:$K,"&lt;=" &amp; EOMONTH(Q$2, 0),記帳區!$E:$E,$D7)</f>
        <v>0</v>
      </c>
      <c r="R7" s="81">
        <f>SUMIFS(記帳區!$F:$F,記帳區!$K:$K,"&gt;=" &amp; EOMONTH(R$2,-1) + 1,記帳區!$K:$K,"&lt;=" &amp; EOMONTH(R$2, 0),記帳區!$E:$E,$D7)</f>
        <v>0</v>
      </c>
      <c r="S7" s="81">
        <f>SUMIFS(記帳區!$F:$F,記帳區!$K:$K,"&gt;=" &amp; EOMONTH(S$2,-1) + 1,記帳區!$K:$K,"&lt;=" &amp; EOMONTH(S$2, 0),記帳區!$E:$E,$D7)</f>
        <v>0</v>
      </c>
    </row>
    <row r="8" spans="2:19" ht="15.6" customHeight="1" outlineLevel="1">
      <c r="B8" s="313"/>
      <c r="C8" s="313"/>
      <c r="D8" s="87" t="s">
        <v>118</v>
      </c>
      <c r="E8" s="87"/>
      <c r="F8" s="88"/>
      <c r="G8" s="81">
        <f>SUMIFS(記帳區!$F:$F,記帳區!$K:$K,"&gt;=" &amp; EOMONTH($G$2,-1) + 1,記帳區!$K:$K,"&lt;=" &amp; EOMONTH($G$2, 0),記帳區!$E:$E,$D8)</f>
        <v>15000</v>
      </c>
      <c r="H8" s="81">
        <f>SUMIFS(記帳區!$F:$F,記帳區!$K:$K,"&gt;=" &amp; EOMONTH(H$2,-1) + 1,記帳區!$K:$K,"&lt;=" &amp; EOMONTH(H$2, 0),記帳區!$E:$E,$D8)</f>
        <v>15000</v>
      </c>
      <c r="I8" s="81">
        <f>SUMIFS(記帳區!$F:$F,記帳區!$K:$K,"&gt;=" &amp; EOMONTH(I$2,-1) + 1,記帳區!$K:$K,"&lt;=" &amp; EOMONTH(I$2, 0),記帳區!$E:$E,$D8)</f>
        <v>0</v>
      </c>
      <c r="J8" s="81">
        <f>SUMIFS(記帳區!$F:$F,記帳區!$K:$K,"&gt;=" &amp; EOMONTH(J$2,-1) + 1,記帳區!$K:$K,"&lt;=" &amp; EOMONTH(J$2, 0),記帳區!$E:$E,$D8)</f>
        <v>0</v>
      </c>
      <c r="K8" s="81">
        <f>SUMIFS(記帳區!$F:$F,記帳區!$K:$K,"&gt;=" &amp; EOMONTH(K$2,-1) + 1,記帳區!$K:$K,"&lt;=" &amp; EOMONTH(K$2, 0),記帳區!$E:$E,$D8)</f>
        <v>0</v>
      </c>
      <c r="L8" s="81">
        <f>SUMIFS(記帳區!$F:$F,記帳區!$K:$K,"&gt;=" &amp; EOMONTH(L$2,-1) + 1,記帳區!$K:$K,"&lt;=" &amp; EOMONTH(L$2, 0),記帳區!$E:$E,$D8)</f>
        <v>0</v>
      </c>
      <c r="M8" s="81">
        <f>SUMIFS(記帳區!$F:$F,記帳區!$K:$K,"&gt;=" &amp; EOMONTH(M$2,-1) + 1,記帳區!$K:$K,"&lt;=" &amp; EOMONTH(M$2, 0),記帳區!$E:$E,$D8)</f>
        <v>0</v>
      </c>
      <c r="N8" s="81">
        <f>SUMIFS(記帳區!$F:$F,記帳區!$K:$K,"&gt;=" &amp; EOMONTH(N$2,-1) + 1,記帳區!$K:$K,"&lt;=" &amp; EOMONTH(N$2, 0),記帳區!$E:$E,$D8)</f>
        <v>0</v>
      </c>
      <c r="O8" s="81">
        <f>SUMIFS(記帳區!$F:$F,記帳區!$K:$K,"&gt;=" &amp; EOMONTH(O$2,-1) + 1,記帳區!$K:$K,"&lt;=" &amp; EOMONTH(O$2, 0),記帳區!$E:$E,$D8)</f>
        <v>0</v>
      </c>
      <c r="P8" s="81">
        <f>SUMIFS(記帳區!$F:$F,記帳區!$K:$K,"&gt;=" &amp; EOMONTH(P$2,-1) + 1,記帳區!$K:$K,"&lt;=" &amp; EOMONTH(P$2, 0),記帳區!$E:$E,$D8)</f>
        <v>0</v>
      </c>
      <c r="Q8" s="81">
        <f>SUMIFS(記帳區!$F:$F,記帳區!$K:$K,"&gt;=" &amp; EOMONTH(Q$2,-1) + 1,記帳區!$K:$K,"&lt;=" &amp; EOMONTH(Q$2, 0),記帳區!$E:$E,$D8)</f>
        <v>0</v>
      </c>
      <c r="R8" s="81">
        <f>SUMIFS(記帳區!$F:$F,記帳區!$K:$K,"&gt;=" &amp; EOMONTH(R$2,-1) + 1,記帳區!$K:$K,"&lt;=" &amp; EOMONTH(R$2, 0),記帳區!$E:$E,$D8)</f>
        <v>0</v>
      </c>
      <c r="S8" s="81">
        <f>SUMIFS(記帳區!$F:$F,記帳區!$K:$K,"&gt;=" &amp; EOMONTH(S$2,-1) + 1,記帳區!$K:$K,"&lt;=" &amp; EOMONTH(S$2, 0),記帳區!$E:$E,$D8)</f>
        <v>0</v>
      </c>
    </row>
    <row r="9" spans="2:19">
      <c r="B9" s="313"/>
      <c r="C9" s="313"/>
      <c r="D9" s="82" t="s">
        <v>436</v>
      </c>
      <c r="E9" s="85"/>
      <c r="F9" s="86"/>
      <c r="G9" s="89">
        <f>SUMIFS(記帳區!$F:$F,記帳區!$K:$K,"&gt;=" &amp; EOMONTH(G2,-1) + 1,記帳區!$K:$K,"&lt;=" &amp; EOMONTH(G2, 0),記帳區!$D:$D,$D9)</f>
        <v>0</v>
      </c>
      <c r="H9" s="89">
        <f>SUMIFS(記帳區!$F:$F,記帳區!$K:$K,"&gt;=" &amp; EOMONTH(H2,-1) + 1,記帳區!$K:$K,"&lt;=" &amp; EOMONTH(H2, 0),記帳區!$D:$D,$D9)</f>
        <v>0</v>
      </c>
      <c r="I9" s="89">
        <f>SUMIFS(記帳區!$F:$F,記帳區!$K:$K,"&gt;=" &amp; EOMONTH(I2,-1) + 1,記帳區!$K:$K,"&lt;=" &amp; EOMONTH(I2, 0),記帳區!$D:$D,$D9)</f>
        <v>0</v>
      </c>
      <c r="J9" s="89">
        <f>SUMIFS(記帳區!$F:$F,記帳區!$K:$K,"&gt;=" &amp; EOMONTH(J2,-1) + 1,記帳區!$K:$K,"&lt;=" &amp; EOMONTH(J2, 0),記帳區!$D:$D,$D9)</f>
        <v>0</v>
      </c>
      <c r="K9" s="89">
        <f>SUMIFS(記帳區!$F:$F,記帳區!$K:$K,"&gt;=" &amp; EOMONTH(K2,-1) + 1,記帳區!$K:$K,"&lt;=" &amp; EOMONTH(K2, 0),記帳區!$D:$D,$D9)</f>
        <v>0</v>
      </c>
      <c r="L9" s="89">
        <f>SUMIFS(記帳區!$F:$F,記帳區!$K:$K,"&gt;=" &amp; EOMONTH(L2,-1) + 1,記帳區!$K:$K,"&lt;=" &amp; EOMONTH(L2, 0),記帳區!$D:$D,$D9)</f>
        <v>0</v>
      </c>
      <c r="M9" s="89">
        <f>SUMIFS(記帳區!$F:$F,記帳區!$K:$K,"&gt;=" &amp; EOMONTH(M2,-1) + 1,記帳區!$K:$K,"&lt;=" &amp; EOMONTH(M2, 0),記帳區!$D:$D,$D9)</f>
        <v>0</v>
      </c>
      <c r="N9" s="89">
        <f>SUMIFS(記帳區!$F:$F,記帳區!$K:$K,"&gt;=" &amp; EOMONTH(N2,-1) + 1,記帳區!$K:$K,"&lt;=" &amp; EOMONTH(N2, 0),記帳區!$D:$D,$D9)</f>
        <v>0</v>
      </c>
      <c r="O9" s="89">
        <f>SUMIFS(記帳區!$F:$F,記帳區!$K:$K,"&gt;=" &amp; EOMONTH(O2,-1) + 1,記帳區!$K:$K,"&lt;=" &amp; EOMONTH(O2, 0),記帳區!$D:$D,$D9)</f>
        <v>0</v>
      </c>
      <c r="P9" s="89">
        <f>SUMIFS(記帳區!$F:$F,記帳區!$K:$K,"&gt;=" &amp; EOMONTH(P2,-1) + 1,記帳區!$K:$K,"&lt;=" &amp; EOMONTH(P2, 0),記帳區!$D:$D,$D9)</f>
        <v>0</v>
      </c>
      <c r="Q9" s="89">
        <f>SUMIFS(記帳區!$F:$F,記帳區!$K:$K,"&gt;=" &amp; EOMONTH(Q2,-1) + 1,記帳區!$K:$K,"&lt;=" &amp; EOMONTH(Q2, 0),記帳區!$D:$D,$D9)</f>
        <v>0</v>
      </c>
      <c r="R9" s="89">
        <f>SUMIFS(記帳區!$F:$F,記帳區!$K:$K,"&gt;=" &amp; EOMONTH(R2,-1) + 1,記帳區!$K:$K,"&lt;=" &amp; EOMONTH(R2, 0),記帳區!$D:$D,$D9)</f>
        <v>0</v>
      </c>
      <c r="S9" s="89">
        <f>SUMIFS(記帳區!$F:$F,記帳區!$K:$K,"&gt;=" &amp; EOMONTH(S2,-1) + 1,記帳區!$K:$K,"&lt;=" &amp; EOMONTH(S2, 0),記帳區!$D:$D,$D9)</f>
        <v>0</v>
      </c>
    </row>
    <row r="10" spans="2:19" ht="15.6" customHeight="1" outlineLevel="1">
      <c r="B10" s="313"/>
      <c r="C10" s="313"/>
      <c r="D10" s="87"/>
      <c r="E10" s="87"/>
      <c r="F10" s="88"/>
      <c r="G10" s="81">
        <f>SUMIFS(記帳區!$F:$F,記帳區!$K:$K,"&gt;=" &amp; EOMONTH($G$2,-1) + 1,記帳區!$K:$K,"&lt;=" &amp; EOMONTH($G$2, 0),記帳區!$E:$E,$D10)</f>
        <v>0</v>
      </c>
      <c r="H10" s="81">
        <f>SUMIFS(記帳區!$F:$F,記帳區!$K:$K,"&gt;=" &amp; EOMONTH(H$2,-1) + 1,記帳區!$K:$K,"&lt;=" &amp; EOMONTH(H$2, 0),記帳區!$E:$E,$D10)</f>
        <v>0</v>
      </c>
      <c r="I10" s="81">
        <f>SUMIFS(記帳區!$F:$F,記帳區!$K:$K,"&gt;=" &amp; EOMONTH(I$2,-1) + 1,記帳區!$K:$K,"&lt;=" &amp; EOMONTH(I$2, 0),記帳區!$E:$E,$D10)</f>
        <v>0</v>
      </c>
      <c r="J10" s="81">
        <f>SUMIFS(記帳區!$F:$F,記帳區!$K:$K,"&gt;=" &amp; EOMONTH(J$2,-1) + 1,記帳區!$K:$K,"&lt;=" &amp; EOMONTH(J$2, 0),記帳區!$E:$E,$D10)</f>
        <v>0</v>
      </c>
      <c r="K10" s="81">
        <f>SUMIFS(記帳區!$F:$F,記帳區!$K:$K,"&gt;=" &amp; EOMONTH(K$2,-1) + 1,記帳區!$K:$K,"&lt;=" &amp; EOMONTH(K$2, 0),記帳區!$E:$E,$D10)</f>
        <v>0</v>
      </c>
      <c r="L10" s="81">
        <f>SUMIFS(記帳區!$F:$F,記帳區!$K:$K,"&gt;=" &amp; EOMONTH(L$2,-1) + 1,記帳區!$K:$K,"&lt;=" &amp; EOMONTH(L$2, 0),記帳區!$E:$E,$D10)</f>
        <v>0</v>
      </c>
      <c r="M10" s="81">
        <f>SUMIFS(記帳區!$F:$F,記帳區!$K:$K,"&gt;=" &amp; EOMONTH(M$2,-1) + 1,記帳區!$K:$K,"&lt;=" &amp; EOMONTH(M$2, 0),記帳區!$E:$E,$D10)</f>
        <v>0</v>
      </c>
      <c r="N10" s="81">
        <f>SUMIFS(記帳區!$F:$F,記帳區!$K:$K,"&gt;=" &amp; EOMONTH(N$2,-1) + 1,記帳區!$K:$K,"&lt;=" &amp; EOMONTH(N$2, 0),記帳區!$E:$E,$D10)</f>
        <v>0</v>
      </c>
      <c r="O10" s="81">
        <f>SUMIFS(記帳區!$F:$F,記帳區!$K:$K,"&gt;=" &amp; EOMONTH(O$2,-1) + 1,記帳區!$K:$K,"&lt;=" &amp; EOMONTH(O$2, 0),記帳區!$E:$E,$D10)</f>
        <v>0</v>
      </c>
      <c r="P10" s="81">
        <f>SUMIFS(記帳區!$F:$F,記帳區!$K:$K,"&gt;=" &amp; EOMONTH(P$2,-1) + 1,記帳區!$K:$K,"&lt;=" &amp; EOMONTH(P$2, 0),記帳區!$E:$E,$D10)</f>
        <v>0</v>
      </c>
      <c r="Q10" s="81">
        <f>SUMIFS(記帳區!$F:$F,記帳區!$K:$K,"&gt;=" &amp; EOMONTH(Q$2,-1) + 1,記帳區!$K:$K,"&lt;=" &amp; EOMONTH(Q$2, 0),記帳區!$E:$E,$D10)</f>
        <v>0</v>
      </c>
      <c r="R10" s="81">
        <f>SUMIFS(記帳區!$F:$F,記帳區!$K:$K,"&gt;=" &amp; EOMONTH(R$2,-1) + 1,記帳區!$K:$K,"&lt;=" &amp; EOMONTH(R$2, 0),記帳區!$E:$E,$D10)</f>
        <v>0</v>
      </c>
      <c r="S10" s="81">
        <f>SUMIFS(記帳區!$F:$F,記帳區!$K:$K,"&gt;=" &amp; EOMONTH(S$2,-1) + 1,記帳區!$K:$K,"&lt;=" &amp; EOMONTH(S$2, 0),記帳區!$E:$E,$D10)</f>
        <v>0</v>
      </c>
    </row>
    <row r="11" spans="2:19" ht="15.6" customHeight="1" outlineLevel="1">
      <c r="B11" s="313"/>
      <c r="C11" s="313"/>
      <c r="D11" s="87"/>
      <c r="E11" s="87"/>
      <c r="F11" s="88"/>
      <c r="G11" s="81">
        <f>SUMIFS(記帳區!$F:$F,記帳區!$K:$K,"&gt;=" &amp; EOMONTH($G$2,-1) + 1,記帳區!$K:$K,"&lt;=" &amp; EOMONTH($G$2, 0),記帳區!$E:$E,$D11)</f>
        <v>0</v>
      </c>
      <c r="H11" s="81">
        <f>SUMIFS(記帳區!$F:$F,記帳區!$K:$K,"&gt;=" &amp; EOMONTH(H$2,-1) + 1,記帳區!$K:$K,"&lt;=" &amp; EOMONTH(H$2, 0),記帳區!$E:$E,$D11)</f>
        <v>0</v>
      </c>
      <c r="I11" s="81">
        <f>SUMIFS(記帳區!$F:$F,記帳區!$K:$K,"&gt;=" &amp; EOMONTH(I$2,-1) + 1,記帳區!$K:$K,"&lt;=" &amp; EOMONTH(I$2, 0),記帳區!$E:$E,$D11)</f>
        <v>0</v>
      </c>
      <c r="J11" s="81">
        <f>SUMIFS(記帳區!$F:$F,記帳區!$K:$K,"&gt;=" &amp; EOMONTH(J$2,-1) + 1,記帳區!$K:$K,"&lt;=" &amp; EOMONTH(J$2, 0),記帳區!$E:$E,$D11)</f>
        <v>0</v>
      </c>
      <c r="K11" s="81">
        <f>SUMIFS(記帳區!$F:$F,記帳區!$K:$K,"&gt;=" &amp; EOMONTH(K$2,-1) + 1,記帳區!$K:$K,"&lt;=" &amp; EOMONTH(K$2, 0),記帳區!$E:$E,$D11)</f>
        <v>0</v>
      </c>
      <c r="L11" s="81">
        <f>SUMIFS(記帳區!$F:$F,記帳區!$K:$K,"&gt;=" &amp; EOMONTH(L$2,-1) + 1,記帳區!$K:$K,"&lt;=" &amp; EOMONTH(L$2, 0),記帳區!$E:$E,$D11)</f>
        <v>0</v>
      </c>
      <c r="M11" s="81">
        <f>SUMIFS(記帳區!$F:$F,記帳區!$K:$K,"&gt;=" &amp; EOMONTH(M$2,-1) + 1,記帳區!$K:$K,"&lt;=" &amp; EOMONTH(M$2, 0),記帳區!$E:$E,$D11)</f>
        <v>0</v>
      </c>
      <c r="N11" s="81">
        <f>SUMIFS(記帳區!$F:$F,記帳區!$K:$K,"&gt;=" &amp; EOMONTH(N$2,-1) + 1,記帳區!$K:$K,"&lt;=" &amp; EOMONTH(N$2, 0),記帳區!$E:$E,$D11)</f>
        <v>0</v>
      </c>
      <c r="O11" s="81">
        <f>SUMIFS(記帳區!$F:$F,記帳區!$K:$K,"&gt;=" &amp; EOMONTH(O$2,-1) + 1,記帳區!$K:$K,"&lt;=" &amp; EOMONTH(O$2, 0),記帳區!$E:$E,$D11)</f>
        <v>0</v>
      </c>
      <c r="P11" s="81">
        <f>SUMIFS(記帳區!$F:$F,記帳區!$K:$K,"&gt;=" &amp; EOMONTH(P$2,-1) + 1,記帳區!$K:$K,"&lt;=" &amp; EOMONTH(P$2, 0),記帳區!$E:$E,$D11)</f>
        <v>0</v>
      </c>
      <c r="Q11" s="81">
        <f>SUMIFS(記帳區!$F:$F,記帳區!$K:$K,"&gt;=" &amp; EOMONTH(Q$2,-1) + 1,記帳區!$K:$K,"&lt;=" &amp; EOMONTH(Q$2, 0),記帳區!$E:$E,$D11)</f>
        <v>0</v>
      </c>
      <c r="R11" s="81">
        <f>SUMIFS(記帳區!$F:$F,記帳區!$K:$K,"&gt;=" &amp; EOMONTH(R$2,-1) + 1,記帳區!$K:$K,"&lt;=" &amp; EOMONTH(R$2, 0),記帳區!$E:$E,$D11)</f>
        <v>0</v>
      </c>
      <c r="S11" s="81">
        <f>SUMIFS(記帳區!$F:$F,記帳區!$K:$K,"&gt;=" &amp; EOMONTH(S$2,-1) + 1,記帳區!$K:$K,"&lt;=" &amp; EOMONTH(S$2, 0),記帳區!$E:$E,$D11)</f>
        <v>0</v>
      </c>
    </row>
    <row r="12" spans="2:19">
      <c r="B12" s="313"/>
      <c r="C12" s="313"/>
      <c r="D12" s="82" t="s">
        <v>437</v>
      </c>
      <c r="E12" s="85"/>
      <c r="F12" s="86"/>
      <c r="G12" s="89">
        <f>SUMIFS(記帳區!$F:$F,記帳區!$K:$K,"&gt;=" &amp; EOMONTH(G2,-1) + 1,記帳區!$K:$K,"&lt;=" &amp; EOMONTH(G2, 0),記帳區!$D:$D,$D12)</f>
        <v>0</v>
      </c>
      <c r="H12" s="89">
        <f>SUMIFS(記帳區!$F:$F,記帳區!$K:$K,"&gt;=" &amp; EOMONTH(H2,-1) + 1,記帳區!$K:$K,"&lt;=" &amp; EOMONTH(H2, 0),記帳區!$D:$D,$D12)</f>
        <v>0</v>
      </c>
      <c r="I12" s="89">
        <f>SUMIFS(記帳區!$F:$F,記帳區!$K:$K,"&gt;=" &amp; EOMONTH(I2,-1) + 1,記帳區!$K:$K,"&lt;=" &amp; EOMONTH(I2, 0),記帳區!$D:$D,$D12)</f>
        <v>0</v>
      </c>
      <c r="J12" s="89">
        <f>SUMIFS(記帳區!$F:$F,記帳區!$K:$K,"&gt;=" &amp; EOMONTH(J2,-1) + 1,記帳區!$K:$K,"&lt;=" &amp; EOMONTH(J2, 0),記帳區!$D:$D,$D12)</f>
        <v>0</v>
      </c>
      <c r="K12" s="89">
        <f>SUMIFS(記帳區!$F:$F,記帳區!$K:$K,"&gt;=" &amp; EOMONTH(K2,-1) + 1,記帳區!$K:$K,"&lt;=" &amp; EOMONTH(K2, 0),記帳區!$D:$D,$D12)</f>
        <v>0</v>
      </c>
      <c r="L12" s="89">
        <f>SUMIFS(記帳區!$F:$F,記帳區!$K:$K,"&gt;=" &amp; EOMONTH(L2,-1) + 1,記帳區!$K:$K,"&lt;=" &amp; EOMONTH(L2, 0),記帳區!$D:$D,$D12)</f>
        <v>0</v>
      </c>
      <c r="M12" s="89">
        <f>SUMIFS(記帳區!$F:$F,記帳區!$K:$K,"&gt;=" &amp; EOMONTH(M2,-1) + 1,記帳區!$K:$K,"&lt;=" &amp; EOMONTH(M2, 0),記帳區!$D:$D,$D12)</f>
        <v>0</v>
      </c>
      <c r="N12" s="89">
        <f>SUMIFS(記帳區!$F:$F,記帳區!$K:$K,"&gt;=" &amp; EOMONTH(N2,-1) + 1,記帳區!$K:$K,"&lt;=" &amp; EOMONTH(N2, 0),記帳區!$D:$D,$D12)</f>
        <v>0</v>
      </c>
      <c r="O12" s="89">
        <f>SUMIFS(記帳區!$F:$F,記帳區!$K:$K,"&gt;=" &amp; EOMONTH(O2,-1) + 1,記帳區!$K:$K,"&lt;=" &amp; EOMONTH(O2, 0),記帳區!$D:$D,$D12)</f>
        <v>0</v>
      </c>
      <c r="P12" s="89">
        <f>SUMIFS(記帳區!$F:$F,記帳區!$K:$K,"&gt;=" &amp; EOMONTH(P2,-1) + 1,記帳區!$K:$K,"&lt;=" &amp; EOMONTH(P2, 0),記帳區!$D:$D,$D12)</f>
        <v>0</v>
      </c>
      <c r="Q12" s="89">
        <f>SUMIFS(記帳區!$F:$F,記帳區!$K:$K,"&gt;=" &amp; EOMONTH(Q2,-1) + 1,記帳區!$K:$K,"&lt;=" &amp; EOMONTH(Q2, 0),記帳區!$D:$D,$D12)</f>
        <v>0</v>
      </c>
      <c r="R12" s="89">
        <f>SUMIFS(記帳區!$F:$F,記帳區!$K:$K,"&gt;=" &amp; EOMONTH(R2,-1) + 1,記帳區!$K:$K,"&lt;=" &amp; EOMONTH(R2, 0),記帳區!$D:$D,$D12)</f>
        <v>0</v>
      </c>
      <c r="S12" s="89">
        <f>SUMIFS(記帳區!$F:$F,記帳區!$K:$K,"&gt;=" &amp; EOMONTH(S2,-1) + 1,記帳區!$K:$K,"&lt;=" &amp; EOMONTH(S2, 0),記帳區!$D:$D,$D12)</f>
        <v>0</v>
      </c>
    </row>
    <row r="13" spans="2:19" ht="15.6" customHeight="1" outlineLevel="1">
      <c r="B13" s="313"/>
      <c r="C13" s="313"/>
      <c r="D13" s="87" t="s">
        <v>438</v>
      </c>
      <c r="E13" s="87"/>
      <c r="F13" s="88"/>
      <c r="G13" s="81">
        <f>SUMIFS(記帳區!$F:$F,記帳區!$K:$K,"&gt;=" &amp; EOMONTH($G$2,-1) + 1,記帳區!$K:$K,"&lt;=" &amp; EOMONTH($G$2, 0),記帳區!$E:$E,$D13)</f>
        <v>0</v>
      </c>
      <c r="H13" s="81">
        <f>SUMIFS(記帳區!$F:$F,記帳區!$K:$K,"&gt;=" &amp; EOMONTH(H$2,-1) + 1,記帳區!$K:$K,"&lt;=" &amp; EOMONTH(H$2, 0),記帳區!$E:$E,$D13)</f>
        <v>0</v>
      </c>
      <c r="I13" s="81">
        <f>SUMIFS(記帳區!$F:$F,記帳區!$K:$K,"&gt;=" &amp; EOMONTH(I$2,-1) + 1,記帳區!$K:$K,"&lt;=" &amp; EOMONTH(I$2, 0),記帳區!$E:$E,$D13)</f>
        <v>0</v>
      </c>
      <c r="J13" s="81">
        <f>SUMIFS(記帳區!$F:$F,記帳區!$K:$K,"&gt;=" &amp; EOMONTH(J$2,-1) + 1,記帳區!$K:$K,"&lt;=" &amp; EOMONTH(J$2, 0),記帳區!$E:$E,$D13)</f>
        <v>0</v>
      </c>
      <c r="K13" s="81">
        <f>SUMIFS(記帳區!$F:$F,記帳區!$K:$K,"&gt;=" &amp; EOMONTH(K$2,-1) + 1,記帳區!$K:$K,"&lt;=" &amp; EOMONTH(K$2, 0),記帳區!$E:$E,$D13)</f>
        <v>0</v>
      </c>
      <c r="L13" s="81">
        <f>SUMIFS(記帳區!$F:$F,記帳區!$K:$K,"&gt;=" &amp; EOMONTH(L$2,-1) + 1,記帳區!$K:$K,"&lt;=" &amp; EOMONTH(L$2, 0),記帳區!$E:$E,$D13)</f>
        <v>0</v>
      </c>
      <c r="M13" s="81">
        <f>SUMIFS(記帳區!$F:$F,記帳區!$K:$K,"&gt;=" &amp; EOMONTH(M$2,-1) + 1,記帳區!$K:$K,"&lt;=" &amp; EOMONTH(M$2, 0),記帳區!$E:$E,$D13)</f>
        <v>0</v>
      </c>
      <c r="N13" s="81">
        <f>SUMIFS(記帳區!$F:$F,記帳區!$K:$K,"&gt;=" &amp; EOMONTH(N$2,-1) + 1,記帳區!$K:$K,"&lt;=" &amp; EOMONTH(N$2, 0),記帳區!$E:$E,$D13)</f>
        <v>0</v>
      </c>
      <c r="O13" s="81">
        <f>SUMIFS(記帳區!$F:$F,記帳區!$K:$K,"&gt;=" &amp; EOMONTH(O$2,-1) + 1,記帳區!$K:$K,"&lt;=" &amp; EOMONTH(O$2, 0),記帳區!$E:$E,$D13)</f>
        <v>0</v>
      </c>
      <c r="P13" s="81">
        <f>SUMIFS(記帳區!$F:$F,記帳區!$K:$K,"&gt;=" &amp; EOMONTH(P$2,-1) + 1,記帳區!$K:$K,"&lt;=" &amp; EOMONTH(P$2, 0),記帳區!$E:$E,$D13)</f>
        <v>0</v>
      </c>
      <c r="Q13" s="81">
        <f>SUMIFS(記帳區!$F:$F,記帳區!$K:$K,"&gt;=" &amp; EOMONTH(Q$2,-1) + 1,記帳區!$K:$K,"&lt;=" &amp; EOMONTH(Q$2, 0),記帳區!$E:$E,$D13)</f>
        <v>0</v>
      </c>
      <c r="R13" s="81">
        <f>SUMIFS(記帳區!$F:$F,記帳區!$K:$K,"&gt;=" &amp; EOMONTH(R$2,-1) + 1,記帳區!$K:$K,"&lt;=" &amp; EOMONTH(R$2, 0),記帳區!$E:$E,$D13)</f>
        <v>0</v>
      </c>
      <c r="S13" s="81">
        <f>SUMIFS(記帳區!$F:$F,記帳區!$K:$K,"&gt;=" &amp; EOMONTH(S$2,-1) + 1,記帳區!$K:$K,"&lt;=" &amp; EOMONTH(S$2, 0),記帳區!$E:$E,$D13)</f>
        <v>0</v>
      </c>
    </row>
    <row r="14" spans="2:19" ht="15.6" customHeight="1" outlineLevel="1">
      <c r="B14" s="313"/>
      <c r="C14" s="313"/>
      <c r="D14" s="87"/>
      <c r="E14" s="87"/>
      <c r="F14" s="88"/>
      <c r="G14" s="81">
        <f>SUMIFS(記帳區!$F:$F,記帳區!$K:$K,"&gt;=" &amp; EOMONTH($G$2,-1) + 1,記帳區!$K:$K,"&lt;=" &amp; EOMONTH($G$2, 0),記帳區!$E:$E,$D14)</f>
        <v>0</v>
      </c>
      <c r="H14" s="81">
        <f>SUMIFS(記帳區!$F:$F,記帳區!$K:$K,"&gt;=" &amp; EOMONTH(H$2,-1) + 1,記帳區!$K:$K,"&lt;=" &amp; EOMONTH(H$2, 0),記帳區!$E:$E,$D14)</f>
        <v>0</v>
      </c>
      <c r="I14" s="81">
        <f>SUMIFS(記帳區!$F:$F,記帳區!$K:$K,"&gt;=" &amp; EOMONTH(I$2,-1) + 1,記帳區!$K:$K,"&lt;=" &amp; EOMONTH(I$2, 0),記帳區!$E:$E,$D14)</f>
        <v>0</v>
      </c>
      <c r="J14" s="81">
        <f>SUMIFS(記帳區!$F:$F,記帳區!$K:$K,"&gt;=" &amp; EOMONTH(J$2,-1) + 1,記帳區!$K:$K,"&lt;=" &amp; EOMONTH(J$2, 0),記帳區!$E:$E,$D14)</f>
        <v>0</v>
      </c>
      <c r="K14" s="81">
        <f>SUMIFS(記帳區!$F:$F,記帳區!$K:$K,"&gt;=" &amp; EOMONTH(K$2,-1) + 1,記帳區!$K:$K,"&lt;=" &amp; EOMONTH(K$2, 0),記帳區!$E:$E,$D14)</f>
        <v>0</v>
      </c>
      <c r="L14" s="81">
        <f>SUMIFS(記帳區!$F:$F,記帳區!$K:$K,"&gt;=" &amp; EOMONTH(L$2,-1) + 1,記帳區!$K:$K,"&lt;=" &amp; EOMONTH(L$2, 0),記帳區!$E:$E,$D14)</f>
        <v>0</v>
      </c>
      <c r="M14" s="81">
        <f>SUMIFS(記帳區!$F:$F,記帳區!$K:$K,"&gt;=" &amp; EOMONTH(M$2,-1) + 1,記帳區!$K:$K,"&lt;=" &amp; EOMONTH(M$2, 0),記帳區!$E:$E,$D14)</f>
        <v>0</v>
      </c>
      <c r="N14" s="81">
        <f>SUMIFS(記帳區!$F:$F,記帳區!$K:$K,"&gt;=" &amp; EOMONTH(N$2,-1) + 1,記帳區!$K:$K,"&lt;=" &amp; EOMONTH(N$2, 0),記帳區!$E:$E,$D14)</f>
        <v>0</v>
      </c>
      <c r="O14" s="81">
        <f>SUMIFS(記帳區!$F:$F,記帳區!$K:$K,"&gt;=" &amp; EOMONTH(O$2,-1) + 1,記帳區!$K:$K,"&lt;=" &amp; EOMONTH(O$2, 0),記帳區!$E:$E,$D14)</f>
        <v>0</v>
      </c>
      <c r="P14" s="81">
        <f>SUMIFS(記帳區!$F:$F,記帳區!$K:$K,"&gt;=" &amp; EOMONTH(P$2,-1) + 1,記帳區!$K:$K,"&lt;=" &amp; EOMONTH(P$2, 0),記帳區!$E:$E,$D14)</f>
        <v>0</v>
      </c>
      <c r="Q14" s="81">
        <f>SUMIFS(記帳區!$F:$F,記帳區!$K:$K,"&gt;=" &amp; EOMONTH(Q$2,-1) + 1,記帳區!$K:$K,"&lt;=" &amp; EOMONTH(Q$2, 0),記帳區!$E:$E,$D14)</f>
        <v>0</v>
      </c>
      <c r="R14" s="81">
        <f>SUMIFS(記帳區!$F:$F,記帳區!$K:$K,"&gt;=" &amp; EOMONTH(R$2,-1) + 1,記帳區!$K:$K,"&lt;=" &amp; EOMONTH(R$2, 0),記帳區!$E:$E,$D14)</f>
        <v>0</v>
      </c>
      <c r="S14" s="81">
        <f>SUMIFS(記帳區!$F:$F,記帳區!$K:$K,"&gt;=" &amp; EOMONTH(S$2,-1) + 1,記帳區!$K:$K,"&lt;=" &amp; EOMONTH(S$2, 0),記帳區!$E:$E,$D14)</f>
        <v>0</v>
      </c>
    </row>
    <row r="15" spans="2:19">
      <c r="B15" s="313"/>
      <c r="C15" s="313"/>
      <c r="D15" s="82" t="s">
        <v>383</v>
      </c>
      <c r="E15" s="85"/>
      <c r="F15" s="86"/>
      <c r="G15" s="89">
        <f>SUMIFS(記帳區!$F:$F,記帳區!$K:$K,"&gt;=" &amp; EOMONTH(G2,-1) + 1,記帳區!$K:$K,"&lt;=" &amp; EOMONTH(G2, 0),記帳區!$D:$D,$D15)</f>
        <v>0</v>
      </c>
      <c r="H15" s="89">
        <f>SUMIFS(記帳區!$F:$F,記帳區!$K:$K,"&gt;=" &amp; EOMONTH(H2,-1) + 1,記帳區!$K:$K,"&lt;=" &amp; EOMONTH(H2, 0),記帳區!$D:$D,$D15)</f>
        <v>0</v>
      </c>
      <c r="I15" s="89">
        <f>SUMIFS(記帳區!$F:$F,記帳區!$K:$K,"&gt;=" &amp; EOMONTH(I2,-1) + 1,記帳區!$K:$K,"&lt;=" &amp; EOMONTH(I2, 0),記帳區!$D:$D,$D15)</f>
        <v>0</v>
      </c>
      <c r="J15" s="89">
        <f>SUMIFS(記帳區!$F:$F,記帳區!$K:$K,"&gt;=" &amp; EOMONTH(J2,-1) + 1,記帳區!$K:$K,"&lt;=" &amp; EOMONTH(J2, 0),記帳區!$D:$D,$D15)</f>
        <v>0</v>
      </c>
      <c r="K15" s="89">
        <f>SUMIFS(記帳區!$F:$F,記帳區!$K:$K,"&gt;=" &amp; EOMONTH(K2,-1) + 1,記帳區!$K:$K,"&lt;=" &amp; EOMONTH(K2, 0),記帳區!$D:$D,$D15)</f>
        <v>0</v>
      </c>
      <c r="L15" s="89">
        <f>SUMIFS(記帳區!$F:$F,記帳區!$K:$K,"&gt;=" &amp; EOMONTH(L2,-1) + 1,記帳區!$K:$K,"&lt;=" &amp; EOMONTH(L2, 0),記帳區!$D:$D,$D15)</f>
        <v>0</v>
      </c>
      <c r="M15" s="89">
        <f>SUMIFS(記帳區!$F:$F,記帳區!$K:$K,"&gt;=" &amp; EOMONTH(M2,-1) + 1,記帳區!$K:$K,"&lt;=" &amp; EOMONTH(M2, 0),記帳區!$D:$D,$D15)</f>
        <v>0</v>
      </c>
      <c r="N15" s="89">
        <f>SUMIFS(記帳區!$F:$F,記帳區!$K:$K,"&gt;=" &amp; EOMONTH(N2,-1) + 1,記帳區!$K:$K,"&lt;=" &amp; EOMONTH(N2, 0),記帳區!$D:$D,$D15)</f>
        <v>0</v>
      </c>
      <c r="O15" s="89">
        <f>SUMIFS(記帳區!$F:$F,記帳區!$K:$K,"&gt;=" &amp; EOMONTH(O2,-1) + 1,記帳區!$K:$K,"&lt;=" &amp; EOMONTH(O2, 0),記帳區!$D:$D,$D15)</f>
        <v>0</v>
      </c>
      <c r="P15" s="89">
        <f>SUMIFS(記帳區!$F:$F,記帳區!$K:$K,"&gt;=" &amp; EOMONTH(P2,-1) + 1,記帳區!$K:$K,"&lt;=" &amp; EOMONTH(P2, 0),記帳區!$D:$D,$D15)</f>
        <v>0</v>
      </c>
      <c r="Q15" s="89">
        <f>SUMIFS(記帳區!$F:$F,記帳區!$K:$K,"&gt;=" &amp; EOMONTH(Q2,-1) + 1,記帳區!$K:$K,"&lt;=" &amp; EOMONTH(Q2, 0),記帳區!$D:$D,$D15)</f>
        <v>0</v>
      </c>
      <c r="R15" s="89">
        <f>SUMIFS(記帳區!$F:$F,記帳區!$K:$K,"&gt;=" &amp; EOMONTH(R2,-1) + 1,記帳區!$K:$K,"&lt;=" &amp; EOMONTH(R2, 0),記帳區!$D:$D,$D15)</f>
        <v>0</v>
      </c>
      <c r="S15" s="89">
        <f>SUMIFS(記帳區!$F:$F,記帳區!$K:$K,"&gt;=" &amp; EOMONTH(S2,-1) + 1,記帳區!$K:$K,"&lt;=" &amp; EOMONTH(S2, 0),記帳區!$D:$D,$D15)</f>
        <v>0</v>
      </c>
    </row>
    <row r="16" spans="2:19" ht="15.6" customHeight="1" outlineLevel="1">
      <c r="B16" s="313"/>
      <c r="C16" s="313"/>
      <c r="D16" s="87"/>
      <c r="E16" s="87"/>
      <c r="F16" s="88"/>
      <c r="G16" s="81">
        <f>SUMIFS(記帳區!$F:$F,記帳區!$K:$K,"&gt;=" &amp; EOMONTH(G$2,-1) + 1,記帳區!$K:$K,"&lt;=" &amp; EOMONTH(G$2, 0),記帳區!$E:$E,$D16)</f>
        <v>0</v>
      </c>
      <c r="H16" s="81">
        <f>SUMIFS(記帳區!$F:$F,記帳區!$K:$K,"&gt;=" &amp; EOMONTH(H$2,-1) + 1,記帳區!$K:$K,"&lt;=" &amp; EOMONTH(H$2, 0),記帳區!$E:$E,$D16)</f>
        <v>0</v>
      </c>
      <c r="I16" s="81">
        <f>SUMIFS(記帳區!$F:$F,記帳區!$K:$K,"&gt;=" &amp; EOMONTH(I$2,-1) + 1,記帳區!$K:$K,"&lt;=" &amp; EOMONTH(I$2, 0),記帳區!$E:$E,$D16)</f>
        <v>0</v>
      </c>
      <c r="J16" s="81">
        <f>SUMIFS(記帳區!$F:$F,記帳區!$K:$K,"&gt;=" &amp; EOMONTH(J$2,-1) + 1,記帳區!$K:$K,"&lt;=" &amp; EOMONTH(J$2, 0),記帳區!$E:$E,$D16)</f>
        <v>0</v>
      </c>
      <c r="K16" s="81">
        <f>SUMIFS(記帳區!$F:$F,記帳區!$K:$K,"&gt;=" &amp; EOMONTH(K$2,-1) + 1,記帳區!$K:$K,"&lt;=" &amp; EOMONTH(K$2, 0),記帳區!$E:$E,$D16)</f>
        <v>0</v>
      </c>
      <c r="L16" s="81">
        <f>SUMIFS(記帳區!$F:$F,記帳區!$K:$K,"&gt;=" &amp; EOMONTH(L$2,-1) + 1,記帳區!$K:$K,"&lt;=" &amp; EOMONTH(L$2, 0),記帳區!$E:$E,$D16)</f>
        <v>0</v>
      </c>
      <c r="M16" s="81">
        <f>SUMIFS(記帳區!$F:$F,記帳區!$K:$K,"&gt;=" &amp; EOMONTH(M$2,-1) + 1,記帳區!$K:$K,"&lt;=" &amp; EOMONTH(M$2, 0),記帳區!$E:$E,$D16)</f>
        <v>0</v>
      </c>
      <c r="N16" s="81">
        <f>SUMIFS(記帳區!$F:$F,記帳區!$K:$K,"&gt;=" &amp; EOMONTH(N$2,-1) + 1,記帳區!$K:$K,"&lt;=" &amp; EOMONTH(N$2, 0),記帳區!$E:$E,$D16)</f>
        <v>0</v>
      </c>
      <c r="O16" s="81">
        <f>SUMIFS(記帳區!$F:$F,記帳區!$K:$K,"&gt;=" &amp; EOMONTH(O$2,-1) + 1,記帳區!$K:$K,"&lt;=" &amp; EOMONTH(O$2, 0),記帳區!$E:$E,$D16)</f>
        <v>0</v>
      </c>
      <c r="P16" s="81">
        <f>SUMIFS(記帳區!$F:$F,記帳區!$K:$K,"&gt;=" &amp; EOMONTH(P$2,-1) + 1,記帳區!$K:$K,"&lt;=" &amp; EOMONTH(P$2, 0),記帳區!$E:$E,$D16)</f>
        <v>0</v>
      </c>
      <c r="Q16" s="81">
        <f>SUMIFS(記帳區!$F:$F,記帳區!$K:$K,"&gt;=" &amp; EOMONTH(Q$2,-1) + 1,記帳區!$K:$K,"&lt;=" &amp; EOMONTH(Q$2, 0),記帳區!$E:$E,$D16)</f>
        <v>0</v>
      </c>
      <c r="R16" s="81">
        <f>SUMIFS(記帳區!$F:$F,記帳區!$K:$K,"&gt;=" &amp; EOMONTH(R$2,-1) + 1,記帳區!$K:$K,"&lt;=" &amp; EOMONTH(R$2, 0),記帳區!$E:$E,$D16)</f>
        <v>0</v>
      </c>
      <c r="S16" s="81">
        <f>SUMIFS(記帳區!$F:$F,記帳區!$K:$K,"&gt;=" &amp; EOMONTH(S$2,-1) + 1,記帳區!$K:$K,"&lt;=" &amp; EOMONTH(S$2, 0),記帳區!$E:$E,$D16)</f>
        <v>0</v>
      </c>
    </row>
    <row r="17" spans="2:19" ht="15.6" customHeight="1" outlineLevel="1">
      <c r="B17" s="313"/>
      <c r="C17" s="313"/>
      <c r="D17" s="87"/>
      <c r="E17" s="87"/>
      <c r="F17" s="88"/>
      <c r="G17" s="81">
        <f>SUMIFS(記帳區!$F:$F,記帳區!$K:$K,"&gt;=" &amp; EOMONTH($G$2,-1) + 1,記帳區!$K:$K,"&lt;=" &amp; EOMONTH($G$2, 0),記帳區!$E:$E,$D17)</f>
        <v>0</v>
      </c>
      <c r="H17" s="81">
        <f>SUMIFS(記帳區!$F:$F,記帳區!$K:$K,"&gt;=" &amp; EOMONTH(H$2,-1) + 1,記帳區!$K:$K,"&lt;=" &amp; EOMONTH(H$2, 0),記帳區!$E:$E,$D17)</f>
        <v>0</v>
      </c>
      <c r="I17" s="81">
        <f>SUMIFS(記帳區!$F:$F,記帳區!$K:$K,"&gt;=" &amp; EOMONTH(I$2,-1) + 1,記帳區!$K:$K,"&lt;=" &amp; EOMONTH(I$2, 0),記帳區!$E:$E,$D17)</f>
        <v>0</v>
      </c>
      <c r="J17" s="81">
        <f>SUMIFS(記帳區!$F:$F,記帳區!$K:$K,"&gt;=" &amp; EOMONTH(J$2,-1) + 1,記帳區!$K:$K,"&lt;=" &amp; EOMONTH(J$2, 0),記帳區!$E:$E,$D17)</f>
        <v>0</v>
      </c>
      <c r="K17" s="81">
        <f>SUMIFS(記帳區!$F:$F,記帳區!$K:$K,"&gt;=" &amp; EOMONTH(K$2,-1) + 1,記帳區!$K:$K,"&lt;=" &amp; EOMONTH(K$2, 0),記帳區!$E:$E,$D17)</f>
        <v>0</v>
      </c>
      <c r="L17" s="81">
        <f>SUMIFS(記帳區!$F:$F,記帳區!$K:$K,"&gt;=" &amp; EOMONTH(L$2,-1) + 1,記帳區!$K:$K,"&lt;=" &amp; EOMONTH(L$2, 0),記帳區!$E:$E,$D17)</f>
        <v>0</v>
      </c>
      <c r="M17" s="81">
        <f>SUMIFS(記帳區!$F:$F,記帳區!$K:$K,"&gt;=" &amp; EOMONTH(M$2,-1) + 1,記帳區!$K:$K,"&lt;=" &amp; EOMONTH(M$2, 0),記帳區!$E:$E,$D17)</f>
        <v>0</v>
      </c>
      <c r="N17" s="81">
        <f>SUMIFS(記帳區!$F:$F,記帳區!$K:$K,"&gt;=" &amp; EOMONTH(N$2,-1) + 1,記帳區!$K:$K,"&lt;=" &amp; EOMONTH(N$2, 0),記帳區!$E:$E,$D17)</f>
        <v>0</v>
      </c>
      <c r="O17" s="81">
        <f>SUMIFS(記帳區!$F:$F,記帳區!$K:$K,"&gt;=" &amp; EOMONTH(O$2,-1) + 1,記帳區!$K:$K,"&lt;=" &amp; EOMONTH(O$2, 0),記帳區!$E:$E,$D17)</f>
        <v>0</v>
      </c>
      <c r="P17" s="81">
        <f>SUMIFS(記帳區!$F:$F,記帳區!$K:$K,"&gt;=" &amp; EOMONTH(P$2,-1) + 1,記帳區!$K:$K,"&lt;=" &amp; EOMONTH(P$2, 0),記帳區!$E:$E,$D17)</f>
        <v>0</v>
      </c>
      <c r="Q17" s="81">
        <f>SUMIFS(記帳區!$F:$F,記帳區!$K:$K,"&gt;=" &amp; EOMONTH(Q$2,-1) + 1,記帳區!$K:$K,"&lt;=" &amp; EOMONTH(Q$2, 0),記帳區!$E:$E,$D17)</f>
        <v>0</v>
      </c>
      <c r="R17" s="81">
        <f>SUMIFS(記帳區!$F:$F,記帳區!$K:$K,"&gt;=" &amp; EOMONTH(R$2,-1) + 1,記帳區!$K:$K,"&lt;=" &amp; EOMONTH(R$2, 0),記帳區!$E:$E,$D17)</f>
        <v>0</v>
      </c>
      <c r="S17" s="81">
        <f>SUMIFS(記帳區!$F:$F,記帳區!$K:$K,"&gt;=" &amp; EOMONTH(S$2,-1) + 1,記帳區!$K:$K,"&lt;=" &amp; EOMONTH(S$2, 0),記帳區!$E:$E,$D17)</f>
        <v>0</v>
      </c>
    </row>
    <row r="18" spans="2:19" ht="15.6" customHeight="1" outlineLevel="1">
      <c r="B18" s="313"/>
      <c r="C18" s="313"/>
      <c r="D18" s="87"/>
      <c r="E18" s="87"/>
      <c r="F18" s="88"/>
      <c r="G18" s="81">
        <f>SUMIFS(記帳區!$F:$F,記帳區!$K:$K,"&gt;=" &amp; EOMONTH($G$2,-1) + 1,記帳區!$K:$K,"&lt;=" &amp; EOMONTH($G$2, 0),記帳區!$E:$E,$D18)</f>
        <v>0</v>
      </c>
      <c r="H18" s="81">
        <f>SUMIFS(記帳區!$F:$F,記帳區!$K:$K,"&gt;=" &amp; EOMONTH(H$2,-1) + 1,記帳區!$K:$K,"&lt;=" &amp; EOMONTH(H$2, 0),記帳區!$E:$E,$D18)</f>
        <v>0</v>
      </c>
      <c r="I18" s="81">
        <f>SUMIFS(記帳區!$F:$F,記帳區!$K:$K,"&gt;=" &amp; EOMONTH(I$2,-1) + 1,記帳區!$K:$K,"&lt;=" &amp; EOMONTH(I$2, 0),記帳區!$E:$E,$D18)</f>
        <v>0</v>
      </c>
      <c r="J18" s="81">
        <f>SUMIFS(記帳區!$F:$F,記帳區!$K:$K,"&gt;=" &amp; EOMONTH(J$2,-1) + 1,記帳區!$K:$K,"&lt;=" &amp; EOMONTH(J$2, 0),記帳區!$E:$E,$D18)</f>
        <v>0</v>
      </c>
      <c r="K18" s="81">
        <f>SUMIFS(記帳區!$F:$F,記帳區!$K:$K,"&gt;=" &amp; EOMONTH(K$2,-1) + 1,記帳區!$K:$K,"&lt;=" &amp; EOMONTH(K$2, 0),記帳區!$E:$E,$D18)</f>
        <v>0</v>
      </c>
      <c r="L18" s="81">
        <f>SUMIFS(記帳區!$F:$F,記帳區!$K:$K,"&gt;=" &amp; EOMONTH(L$2,-1) + 1,記帳區!$K:$K,"&lt;=" &amp; EOMONTH(L$2, 0),記帳區!$E:$E,$D18)</f>
        <v>0</v>
      </c>
      <c r="M18" s="81">
        <f>SUMIFS(記帳區!$F:$F,記帳區!$K:$K,"&gt;=" &amp; EOMONTH(M$2,-1) + 1,記帳區!$K:$K,"&lt;=" &amp; EOMONTH(M$2, 0),記帳區!$E:$E,$D18)</f>
        <v>0</v>
      </c>
      <c r="N18" s="81">
        <f>SUMIFS(記帳區!$F:$F,記帳區!$K:$K,"&gt;=" &amp; EOMONTH(N$2,-1) + 1,記帳區!$K:$K,"&lt;=" &amp; EOMONTH(N$2, 0),記帳區!$E:$E,$D18)</f>
        <v>0</v>
      </c>
      <c r="O18" s="81">
        <f>SUMIFS(記帳區!$F:$F,記帳區!$K:$K,"&gt;=" &amp; EOMONTH(O$2,-1) + 1,記帳區!$K:$K,"&lt;=" &amp; EOMONTH(O$2, 0),記帳區!$E:$E,$D18)</f>
        <v>0</v>
      </c>
      <c r="P18" s="81">
        <f>SUMIFS(記帳區!$F:$F,記帳區!$K:$K,"&gt;=" &amp; EOMONTH(P$2,-1) + 1,記帳區!$K:$K,"&lt;=" &amp; EOMONTH(P$2, 0),記帳區!$E:$E,$D18)</f>
        <v>0</v>
      </c>
      <c r="Q18" s="81">
        <f>SUMIFS(記帳區!$F:$F,記帳區!$K:$K,"&gt;=" &amp; EOMONTH(Q$2,-1) + 1,記帳區!$K:$K,"&lt;=" &amp; EOMONTH(Q$2, 0),記帳區!$E:$E,$D18)</f>
        <v>0</v>
      </c>
      <c r="R18" s="81">
        <f>SUMIFS(記帳區!$F:$F,記帳區!$K:$K,"&gt;=" &amp; EOMONTH(R$2,-1) + 1,記帳區!$K:$K,"&lt;=" &amp; EOMONTH(R$2, 0),記帳區!$E:$E,$D18)</f>
        <v>0</v>
      </c>
      <c r="S18" s="81">
        <f>SUMIFS(記帳區!$F:$F,記帳區!$K:$K,"&gt;=" &amp; EOMONTH(S$2,-1) + 1,記帳區!$K:$K,"&lt;=" &amp; EOMONTH(S$2, 0),記帳區!$E:$E,$D18)</f>
        <v>0</v>
      </c>
    </row>
    <row r="19" spans="2:19" ht="15.6" customHeight="1" outlineLevel="1">
      <c r="B19" s="313"/>
      <c r="C19" s="313"/>
      <c r="D19" s="87"/>
      <c r="E19" s="87"/>
      <c r="F19" s="88"/>
      <c r="G19" s="81">
        <f>SUMIFS(記帳區!$F:$F,記帳區!$K:$K,"&gt;=" &amp; EOMONTH($G$2,-1) + 1,記帳區!$K:$K,"&lt;=" &amp; EOMONTH($G$2, 0),記帳區!$E:$E,$D19)</f>
        <v>0</v>
      </c>
      <c r="H19" s="81">
        <f>SUMIFS(記帳區!$F:$F,記帳區!$K:$K,"&gt;=" &amp; EOMONTH(H$2,-1) + 1,記帳區!$K:$K,"&lt;=" &amp; EOMONTH(H$2, 0),記帳區!$E:$E,$D19)</f>
        <v>0</v>
      </c>
      <c r="I19" s="81">
        <f>SUMIFS(記帳區!$F:$F,記帳區!$K:$K,"&gt;=" &amp; EOMONTH(I$2,-1) + 1,記帳區!$K:$K,"&lt;=" &amp; EOMONTH(I$2, 0),記帳區!$E:$E,$D19)</f>
        <v>0</v>
      </c>
      <c r="J19" s="81">
        <f>SUMIFS(記帳區!$F:$F,記帳區!$K:$K,"&gt;=" &amp; EOMONTH(J$2,-1) + 1,記帳區!$K:$K,"&lt;=" &amp; EOMONTH(J$2, 0),記帳區!$E:$E,$D19)</f>
        <v>0</v>
      </c>
      <c r="K19" s="81">
        <f>SUMIFS(記帳區!$F:$F,記帳區!$K:$K,"&gt;=" &amp; EOMONTH(K$2,-1) + 1,記帳區!$K:$K,"&lt;=" &amp; EOMONTH(K$2, 0),記帳區!$E:$E,$D19)</f>
        <v>0</v>
      </c>
      <c r="L19" s="81">
        <f>SUMIFS(記帳區!$F:$F,記帳區!$K:$K,"&gt;=" &amp; EOMONTH(L$2,-1) + 1,記帳區!$K:$K,"&lt;=" &amp; EOMONTH(L$2, 0),記帳區!$E:$E,$D19)</f>
        <v>0</v>
      </c>
      <c r="M19" s="81">
        <f>SUMIFS(記帳區!$F:$F,記帳區!$K:$K,"&gt;=" &amp; EOMONTH(M$2,-1) + 1,記帳區!$K:$K,"&lt;=" &amp; EOMONTH(M$2, 0),記帳區!$E:$E,$D19)</f>
        <v>0</v>
      </c>
      <c r="N19" s="81">
        <f>SUMIFS(記帳區!$F:$F,記帳區!$K:$K,"&gt;=" &amp; EOMONTH(N$2,-1) + 1,記帳區!$K:$K,"&lt;=" &amp; EOMONTH(N$2, 0),記帳區!$E:$E,$D19)</f>
        <v>0</v>
      </c>
      <c r="O19" s="81">
        <f>SUMIFS(記帳區!$F:$F,記帳區!$K:$K,"&gt;=" &amp; EOMONTH(O$2,-1) + 1,記帳區!$K:$K,"&lt;=" &amp; EOMONTH(O$2, 0),記帳區!$E:$E,$D19)</f>
        <v>0</v>
      </c>
      <c r="P19" s="81">
        <f>SUMIFS(記帳區!$F:$F,記帳區!$K:$K,"&gt;=" &amp; EOMONTH(P$2,-1) + 1,記帳區!$K:$K,"&lt;=" &amp; EOMONTH(P$2, 0),記帳區!$E:$E,$D19)</f>
        <v>0</v>
      </c>
      <c r="Q19" s="81">
        <f>SUMIFS(記帳區!$F:$F,記帳區!$K:$K,"&gt;=" &amp; EOMONTH(Q$2,-1) + 1,記帳區!$K:$K,"&lt;=" &amp; EOMONTH(Q$2, 0),記帳區!$E:$E,$D19)</f>
        <v>0</v>
      </c>
      <c r="R19" s="81">
        <f>SUMIFS(記帳區!$F:$F,記帳區!$K:$K,"&gt;=" &amp; EOMONTH(R$2,-1) + 1,記帳區!$K:$K,"&lt;=" &amp; EOMONTH(R$2, 0),記帳區!$E:$E,$D19)</f>
        <v>0</v>
      </c>
      <c r="S19" s="81">
        <f>SUMIFS(記帳區!$F:$F,記帳區!$K:$K,"&gt;=" &amp; EOMONTH(S$2,-1) + 1,記帳區!$K:$K,"&lt;=" &amp; EOMONTH(S$2, 0),記帳區!$E:$E,$D19)</f>
        <v>0</v>
      </c>
    </row>
    <row r="20" spans="2:19">
      <c r="B20" s="313"/>
      <c r="C20" s="313"/>
      <c r="D20" s="82" t="s">
        <v>274</v>
      </c>
      <c r="E20" s="90"/>
      <c r="F20" s="91"/>
      <c r="G20" s="89">
        <f>SUMIFS(記帳區!$F:$F,記帳區!$K:$K,"&gt;=" &amp; EOMONTH(G2,-1) + 1,記帳區!$K:$K,"&lt;=" &amp; EOMONTH(G2, 0),記帳區!$D:$D,$D20)</f>
        <v>0</v>
      </c>
      <c r="H20" s="89">
        <f>SUMIFS(記帳區!$F:$F,記帳區!$K:$K,"&gt;=" &amp; EOMONTH(H2,-1) + 1,記帳區!$K:$K,"&lt;=" &amp; EOMONTH(H2, 0),記帳區!$D:$D,$D20)</f>
        <v>20000</v>
      </c>
      <c r="I20" s="89">
        <f>SUMIFS(記帳區!$F:$F,記帳區!$K:$K,"&gt;=" &amp; EOMONTH(I2,-1) + 1,記帳區!$K:$K,"&lt;=" &amp; EOMONTH(I2, 0),記帳區!$D:$D,$D20)</f>
        <v>0</v>
      </c>
      <c r="J20" s="89">
        <f>SUMIFS(記帳區!$F:$F,記帳區!$K:$K,"&gt;=" &amp; EOMONTH(J2,-1) + 1,記帳區!$K:$K,"&lt;=" &amp; EOMONTH(J2, 0),記帳區!$D:$D,$D20)</f>
        <v>0</v>
      </c>
      <c r="K20" s="89">
        <f>SUMIFS(記帳區!$F:$F,記帳區!$K:$K,"&gt;=" &amp; EOMONTH(K2,-1) + 1,記帳區!$K:$K,"&lt;=" &amp; EOMONTH(K2, 0),記帳區!$D:$D,$D20)</f>
        <v>0</v>
      </c>
      <c r="L20" s="89">
        <f>SUMIFS(記帳區!$F:$F,記帳區!$K:$K,"&gt;=" &amp; EOMONTH(L2,-1) + 1,記帳區!$K:$K,"&lt;=" &amp; EOMONTH(L2, 0),記帳區!$D:$D,$D20)</f>
        <v>0</v>
      </c>
      <c r="M20" s="89">
        <f>SUMIFS(記帳區!$F:$F,記帳區!$K:$K,"&gt;=" &amp; EOMONTH(M2,-1) + 1,記帳區!$K:$K,"&lt;=" &amp; EOMONTH(M2, 0),記帳區!$D:$D,$D20)</f>
        <v>0</v>
      </c>
      <c r="N20" s="89">
        <f>SUMIFS(記帳區!$F:$F,記帳區!$K:$K,"&gt;=" &amp; EOMONTH(N2,-1) + 1,記帳區!$K:$K,"&lt;=" &amp; EOMONTH(N2, 0),記帳區!$D:$D,$D20)</f>
        <v>0</v>
      </c>
      <c r="O20" s="89">
        <f>SUMIFS(記帳區!$F:$F,記帳區!$K:$K,"&gt;=" &amp; EOMONTH(O2,-1) + 1,記帳區!$K:$K,"&lt;=" &amp; EOMONTH(O2, 0),記帳區!$D:$D,$D20)</f>
        <v>0</v>
      </c>
      <c r="P20" s="89">
        <f>SUMIFS(記帳區!$F:$F,記帳區!$K:$K,"&gt;=" &amp; EOMONTH(P2,-1) + 1,記帳區!$K:$K,"&lt;=" &amp; EOMONTH(P2, 0),記帳區!$D:$D,$D20)</f>
        <v>0</v>
      </c>
      <c r="Q20" s="89">
        <f>SUMIFS(記帳區!$F:$F,記帳區!$K:$K,"&gt;=" &amp; EOMONTH(Q2,-1) + 1,記帳區!$K:$K,"&lt;=" &amp; EOMONTH(Q2, 0),記帳區!$D:$D,$D20)</f>
        <v>0</v>
      </c>
      <c r="R20" s="89">
        <f>SUMIFS(記帳區!$F:$F,記帳區!$K:$K,"&gt;=" &amp; EOMONTH(R2,-1) + 1,記帳區!$K:$K,"&lt;=" &amp; EOMONTH(R2, 0),記帳區!$D:$D,$D20)</f>
        <v>0</v>
      </c>
      <c r="S20" s="89">
        <f>SUMIFS(記帳區!$F:$F,記帳區!$K:$K,"&gt;=" &amp; EOMONTH(S2,-1) + 1,記帳區!$K:$K,"&lt;=" &amp; EOMONTH(S2, 0),記帳區!$D:$D,$D20)</f>
        <v>0</v>
      </c>
    </row>
    <row r="21" spans="2:19" outlineLevel="1">
      <c r="B21" s="313"/>
      <c r="C21" s="313"/>
      <c r="D21" s="87" t="s">
        <v>275</v>
      </c>
      <c r="G21" s="81">
        <f>SUMIFS(記帳區!$F:$F,記帳區!$K:$K,"&gt;=" &amp; EOMONTH($G$2,-1) + 1,記帳區!$K:$K,"&lt;=" &amp; EOMONTH($G$2, 0),記帳區!$E:$E,$D21)</f>
        <v>0</v>
      </c>
      <c r="H21" s="81">
        <f>SUMIFS(記帳區!$F:$F,記帳區!$K:$K,"&gt;=" &amp; EOMONTH(H$2,-1) + 1,記帳區!$K:$K,"&lt;=" &amp; EOMONTH(H$2, 0),記帳區!$E:$E,$D21)</f>
        <v>20000</v>
      </c>
      <c r="I21" s="81">
        <f>SUMIFS(記帳區!$F:$F,記帳區!$K:$K,"&gt;=" &amp; EOMONTH(I$2,-1) + 1,記帳區!$K:$K,"&lt;=" &amp; EOMONTH(I$2, 0),記帳區!$E:$E,$D21)</f>
        <v>0</v>
      </c>
      <c r="J21" s="81">
        <f>SUMIFS(記帳區!$F:$F,記帳區!$K:$K,"&gt;=" &amp; EOMONTH(J$2,-1) + 1,記帳區!$K:$K,"&lt;=" &amp; EOMONTH(J$2, 0),記帳區!$E:$E,$D21)</f>
        <v>0</v>
      </c>
      <c r="K21" s="81">
        <f>SUMIFS(記帳區!$F:$F,記帳區!$K:$K,"&gt;=" &amp; EOMONTH(K$2,-1) + 1,記帳區!$K:$K,"&lt;=" &amp; EOMONTH(K$2, 0),記帳區!$E:$E,$D21)</f>
        <v>0</v>
      </c>
      <c r="L21" s="81">
        <f>SUMIFS(記帳區!$F:$F,記帳區!$K:$K,"&gt;=" &amp; EOMONTH(L$2,-1) + 1,記帳區!$K:$K,"&lt;=" &amp; EOMONTH(L$2, 0),記帳區!$E:$E,$D21)</f>
        <v>0</v>
      </c>
      <c r="M21" s="81">
        <f>SUMIFS(記帳區!$F:$F,記帳區!$K:$K,"&gt;=" &amp; EOMONTH(M$2,-1) + 1,記帳區!$K:$K,"&lt;=" &amp; EOMONTH(M$2, 0),記帳區!$E:$E,$D21)</f>
        <v>0</v>
      </c>
      <c r="N21" s="81">
        <f>SUMIFS(記帳區!$F:$F,記帳區!$K:$K,"&gt;=" &amp; EOMONTH(N$2,-1) + 1,記帳區!$K:$K,"&lt;=" &amp; EOMONTH(N$2, 0),記帳區!$E:$E,$D21)</f>
        <v>0</v>
      </c>
      <c r="O21" s="81">
        <f>SUMIFS(記帳區!$F:$F,記帳區!$K:$K,"&gt;=" &amp; EOMONTH(O$2,-1) + 1,記帳區!$K:$K,"&lt;=" &amp; EOMONTH(O$2, 0),記帳區!$E:$E,$D21)</f>
        <v>0</v>
      </c>
      <c r="P21" s="81">
        <f>SUMIFS(記帳區!$F:$F,記帳區!$K:$K,"&gt;=" &amp; EOMONTH(P$2,-1) + 1,記帳區!$K:$K,"&lt;=" &amp; EOMONTH(P$2, 0),記帳區!$E:$E,$D21)</f>
        <v>0</v>
      </c>
      <c r="Q21" s="81">
        <f>SUMIFS(記帳區!$F:$F,記帳區!$K:$K,"&gt;=" &amp; EOMONTH(Q$2,-1) + 1,記帳區!$K:$K,"&lt;=" &amp; EOMONTH(Q$2, 0),記帳區!$E:$E,$D21)</f>
        <v>0</v>
      </c>
      <c r="R21" s="81">
        <f>SUMIFS(記帳區!$F:$F,記帳區!$K:$K,"&gt;=" &amp; EOMONTH(R$2,-1) + 1,記帳區!$K:$K,"&lt;=" &amp; EOMONTH(R$2, 0),記帳區!$E:$E,$D21)</f>
        <v>0</v>
      </c>
      <c r="S21" s="81">
        <f>SUMIFS(記帳區!$F:$F,記帳區!$K:$K,"&gt;=" &amp; EOMONTH(S$2,-1) + 1,記帳區!$K:$K,"&lt;=" &amp; EOMONTH(S$2, 0),記帳區!$E:$E,$D21)</f>
        <v>0</v>
      </c>
    </row>
    <row r="22" spans="2:19" ht="15.6" customHeight="1">
      <c r="B22" s="92"/>
      <c r="C22" s="93"/>
      <c r="D22" s="94" t="s">
        <v>371</v>
      </c>
      <c r="E22" s="95">
        <f>SUM(E23+E26+E29+E37+E43+E48+E52+E55+E58+E61+E64+E67)</f>
        <v>0</v>
      </c>
      <c r="F22" s="95"/>
      <c r="G22" s="96">
        <f t="shared" ref="G22:S22" si="15">SUM(G23+G26+G29+G37+G43+G48+G52+G55+G58+G61+G64+G67)</f>
        <v>-89753</v>
      </c>
      <c r="H22" s="96">
        <f t="shared" si="15"/>
        <v>-87177</v>
      </c>
      <c r="I22" s="96">
        <f t="shared" si="15"/>
        <v>0</v>
      </c>
      <c r="J22" s="96">
        <f t="shared" si="15"/>
        <v>0</v>
      </c>
      <c r="K22" s="96">
        <f t="shared" si="15"/>
        <v>0</v>
      </c>
      <c r="L22" s="96">
        <f t="shared" si="15"/>
        <v>0</v>
      </c>
      <c r="M22" s="96">
        <f t="shared" si="15"/>
        <v>0</v>
      </c>
      <c r="N22" s="96">
        <f t="shared" si="15"/>
        <v>0</v>
      </c>
      <c r="O22" s="96">
        <f t="shared" si="15"/>
        <v>0</v>
      </c>
      <c r="P22" s="96">
        <f t="shared" si="15"/>
        <v>0</v>
      </c>
      <c r="Q22" s="96">
        <f t="shared" si="15"/>
        <v>0</v>
      </c>
      <c r="R22" s="96">
        <f t="shared" si="15"/>
        <v>0</v>
      </c>
      <c r="S22" s="96">
        <f t="shared" si="15"/>
        <v>0</v>
      </c>
    </row>
    <row r="23" spans="2:19" ht="15.75" customHeight="1">
      <c r="B23" s="298" t="s">
        <v>395</v>
      </c>
      <c r="C23" s="325" t="s">
        <v>396</v>
      </c>
      <c r="D23" s="97" t="s">
        <v>263</v>
      </c>
      <c r="E23" s="98"/>
      <c r="G23" s="89">
        <f>SUMIFS(記帳區!$F:$F,記帳區!$K:$K,"&gt;=" &amp; EOMONTH(G$2,-1) + 1,記帳區!$K:$K,"&lt;=" &amp; EOMONTH(G$2, 0),記帳區!$D:$D,$D23)</f>
        <v>-424</v>
      </c>
      <c r="H23" s="89">
        <f>SUMIFS(記帳區!$F:$F,記帳區!$K:$K,"&gt;=" &amp; EOMONTH(H$2,-1) + 1,記帳區!$K:$K,"&lt;=" &amp; EOMONTH(H$2, 0),記帳區!$D:$D,$D23)</f>
        <v>-508</v>
      </c>
      <c r="I23" s="89">
        <f>SUMIFS(記帳區!$F:$F,記帳區!$K:$K,"&gt;=" &amp; EOMONTH(I$2,-1) + 1,記帳區!$K:$K,"&lt;=" &amp; EOMONTH(I$2, 0),記帳區!$D:$D,$D23)</f>
        <v>0</v>
      </c>
      <c r="J23" s="89">
        <f>SUMIFS(記帳區!$F:$F,記帳區!$K:$K,"&gt;=" &amp; EOMONTH(J$2,-1) + 1,記帳區!$K:$K,"&lt;=" &amp; EOMONTH(J$2, 0),記帳區!$D:$D,$D23)</f>
        <v>0</v>
      </c>
      <c r="K23" s="89">
        <f>SUMIFS(記帳區!$F:$F,記帳區!$K:$K,"&gt;=" &amp; EOMONTH(K$2,-1) + 1,記帳區!$K:$K,"&lt;=" &amp; EOMONTH(K$2, 0),記帳區!$D:$D,$D23)</f>
        <v>0</v>
      </c>
      <c r="L23" s="89">
        <f>SUMIFS(記帳區!$F:$F,記帳區!$K:$K,"&gt;=" &amp; EOMONTH(L$2,-1) + 1,記帳區!$K:$K,"&lt;=" &amp; EOMONTH(L$2, 0),記帳區!$D:$D,$D23)</f>
        <v>0</v>
      </c>
      <c r="M23" s="89">
        <f>SUMIFS(記帳區!$F:$F,記帳區!$K:$K,"&gt;=" &amp; EOMONTH(M$2,-1) + 1,記帳區!$K:$K,"&lt;=" &amp; EOMONTH(M$2, 0),記帳區!$D:$D,$D23)</f>
        <v>0</v>
      </c>
      <c r="N23" s="89">
        <f>SUMIFS(記帳區!$F:$F,記帳區!$K:$K,"&gt;=" &amp; EOMONTH(N$2,-1) + 1,記帳區!$K:$K,"&lt;=" &amp; EOMONTH(N$2, 0),記帳區!$D:$D,$D23)</f>
        <v>0</v>
      </c>
      <c r="O23" s="89">
        <f>SUMIFS(記帳區!$F:$F,記帳區!$K:$K,"&gt;=" &amp; EOMONTH(O$2,-1) + 1,記帳區!$K:$K,"&lt;=" &amp; EOMONTH(O$2, 0),記帳區!$D:$D,$D23)</f>
        <v>0</v>
      </c>
      <c r="P23" s="89">
        <f>SUMIFS(記帳區!$F:$F,記帳區!$K:$K,"&gt;=" &amp; EOMONTH(P$2,-1) + 1,記帳區!$K:$K,"&lt;=" &amp; EOMONTH(P$2, 0),記帳區!$D:$D,$D23)</f>
        <v>0</v>
      </c>
      <c r="Q23" s="89">
        <f>SUMIFS(記帳區!$F:$F,記帳區!$K:$K,"&gt;=" &amp; EOMONTH(Q$2,-1) + 1,記帳區!$K:$K,"&lt;=" &amp; EOMONTH(Q$2, 0),記帳區!$D:$D,$D23)</f>
        <v>0</v>
      </c>
      <c r="R23" s="89">
        <f>SUMIFS(記帳區!$F:$F,記帳區!$K:$K,"&gt;=" &amp; EOMONTH(R$2,-1) + 1,記帳區!$K:$K,"&lt;=" &amp; EOMONTH(R$2, 0),記帳區!$D:$D,$D23)</f>
        <v>0</v>
      </c>
      <c r="S23" s="89">
        <f>SUMIFS(記帳區!$F:$F,記帳區!$K:$K,"&gt;=" &amp; EOMONTH(S$2,-1) + 1,記帳區!$K:$K,"&lt;=" &amp; EOMONTH(S$2, 0),記帳區!$D:$D,$D23)</f>
        <v>0</v>
      </c>
    </row>
    <row r="24" spans="2:19" ht="15.6" customHeight="1" outlineLevel="1">
      <c r="B24" s="298"/>
      <c r="C24" s="325"/>
      <c r="D24" s="99" t="s">
        <v>264</v>
      </c>
      <c r="E24" s="98"/>
      <c r="G24" s="81">
        <f>SUMIFS(記帳區!$F:$F,記帳區!$K:$K,"&gt;=" &amp; EOMONTH(G$2,-1) + 1,記帳區!$K:$K,"&lt;=" &amp; EOMONTH(G$2, 0),記帳區!$E:$E,$D24)</f>
        <v>-250</v>
      </c>
      <c r="H24" s="81">
        <f>SUMIFS(記帳區!$F:$F,記帳區!$K:$K,"&gt;=" &amp; EOMONTH(H$2,-1) + 1,記帳區!$K:$K,"&lt;=" &amp; EOMONTH(H$2, 0),記帳區!$E:$E,$D24)</f>
        <v>-508</v>
      </c>
      <c r="I24" s="81">
        <f>SUMIFS(記帳區!$F:$F,記帳區!$K:$K,"&gt;=" &amp; EOMONTH(I$2,-1) + 1,記帳區!$K:$K,"&lt;=" &amp; EOMONTH(I$2, 0),記帳區!$E:$E,$D24)</f>
        <v>0</v>
      </c>
      <c r="J24" s="81">
        <f>SUMIFS(記帳區!$F:$F,記帳區!$K:$K,"&gt;=" &amp; EOMONTH(J$2,-1) + 1,記帳區!$K:$K,"&lt;=" &amp; EOMONTH(J$2, 0),記帳區!$E:$E,$D24)</f>
        <v>0</v>
      </c>
      <c r="K24" s="81">
        <f>SUMIFS(記帳區!$F:$F,記帳區!$K:$K,"&gt;=" &amp; EOMONTH(K$2,-1) + 1,記帳區!$K:$K,"&lt;=" &amp; EOMONTH(K$2, 0),記帳區!$E:$E,$D24)</f>
        <v>0</v>
      </c>
      <c r="L24" s="81">
        <f>SUMIFS(記帳區!$F:$F,記帳區!$K:$K,"&gt;=" &amp; EOMONTH(L$2,-1) + 1,記帳區!$K:$K,"&lt;=" &amp; EOMONTH(L$2, 0),記帳區!$E:$E,$D24)</f>
        <v>0</v>
      </c>
      <c r="M24" s="81">
        <f>SUMIFS(記帳區!$F:$F,記帳區!$K:$K,"&gt;=" &amp; EOMONTH(M$2,-1) + 1,記帳區!$K:$K,"&lt;=" &amp; EOMONTH(M$2, 0),記帳區!$E:$E,$D24)</f>
        <v>0</v>
      </c>
      <c r="N24" s="81">
        <f>SUMIFS(記帳區!$F:$F,記帳區!$K:$K,"&gt;=" &amp; EOMONTH(N$2,-1) + 1,記帳區!$K:$K,"&lt;=" &amp; EOMONTH(N$2, 0),記帳區!$E:$E,$D24)</f>
        <v>0</v>
      </c>
      <c r="O24" s="81">
        <f>SUMIFS(記帳區!$F:$F,記帳區!$K:$K,"&gt;=" &amp; EOMONTH(O$2,-1) + 1,記帳區!$K:$K,"&lt;=" &amp; EOMONTH(O$2, 0),記帳區!$E:$E,$D24)</f>
        <v>0</v>
      </c>
      <c r="P24" s="81">
        <f>SUMIFS(記帳區!$F:$F,記帳區!$K:$K,"&gt;=" &amp; EOMONTH(P$2,-1) + 1,記帳區!$K:$K,"&lt;=" &amp; EOMONTH(P$2, 0),記帳區!$E:$E,$D24)</f>
        <v>0</v>
      </c>
      <c r="Q24" s="81">
        <f>SUMIFS(記帳區!$F:$F,記帳區!$K:$K,"&gt;=" &amp; EOMONTH(Q$2,-1) + 1,記帳區!$K:$K,"&lt;=" &amp; EOMONTH(Q$2, 0),記帳區!$E:$E,$D24)</f>
        <v>0</v>
      </c>
      <c r="R24" s="81">
        <f>SUMIFS(記帳區!$F:$F,記帳區!$K:$K,"&gt;=" &amp; EOMONTH(R$2,-1) + 1,記帳區!$K:$K,"&lt;=" &amp; EOMONTH(R$2, 0),記帳區!$E:$E,$D24)</f>
        <v>0</v>
      </c>
      <c r="S24" s="81">
        <f>SUMIFS(記帳區!$F:$F,記帳區!$K:$K,"&gt;=" &amp; EOMONTH(S$2,-1) + 1,記帳區!$K:$K,"&lt;=" &amp; EOMONTH(S$2, 0),記帳區!$E:$E,$D24)</f>
        <v>0</v>
      </c>
    </row>
    <row r="25" spans="2:19" ht="15.6" customHeight="1" outlineLevel="1">
      <c r="B25" s="298"/>
      <c r="C25" s="325"/>
      <c r="D25" s="99" t="s">
        <v>272</v>
      </c>
      <c r="E25" s="98"/>
      <c r="G25" s="81">
        <f>SUMIFS(記帳區!$F:$F,記帳區!$K:$K,"&gt;=" &amp; EOMONTH(G$2,-1) + 1,記帳區!$K:$K,"&lt;=" &amp; EOMONTH(G$2, 0),記帳區!$E:$E,$D25)</f>
        <v>-174</v>
      </c>
      <c r="H25" s="81">
        <f>SUMIFS(記帳區!$F:$F,記帳區!$K:$K,"&gt;=" &amp; EOMONTH(H$2,-1) + 1,記帳區!$K:$K,"&lt;=" &amp; EOMONTH(H$2, 0),記帳區!$E:$E,$D25)</f>
        <v>0</v>
      </c>
      <c r="I25" s="81">
        <f>SUMIFS(記帳區!$F:$F,記帳區!$K:$K,"&gt;=" &amp; EOMONTH(I$2,-1) + 1,記帳區!$K:$K,"&lt;=" &amp; EOMONTH(I$2, 0),記帳區!$E:$E,$D25)</f>
        <v>0</v>
      </c>
      <c r="J25" s="81">
        <f>SUMIFS(記帳區!$F:$F,記帳區!$K:$K,"&gt;=" &amp; EOMONTH(J$2,-1) + 1,記帳區!$K:$K,"&lt;=" &amp; EOMONTH(J$2, 0),記帳區!$E:$E,$D25)</f>
        <v>0</v>
      </c>
      <c r="K25" s="81">
        <f>SUMIFS(記帳區!$F:$F,記帳區!$K:$K,"&gt;=" &amp; EOMONTH(K$2,-1) + 1,記帳區!$K:$K,"&lt;=" &amp; EOMONTH(K$2, 0),記帳區!$E:$E,$D25)</f>
        <v>0</v>
      </c>
      <c r="L25" s="81">
        <f>SUMIFS(記帳區!$F:$F,記帳區!$K:$K,"&gt;=" &amp; EOMONTH(L$2,-1) + 1,記帳區!$K:$K,"&lt;=" &amp; EOMONTH(L$2, 0),記帳區!$E:$E,$D25)</f>
        <v>0</v>
      </c>
      <c r="M25" s="81">
        <f>SUMIFS(記帳區!$F:$F,記帳區!$K:$K,"&gt;=" &amp; EOMONTH(M$2,-1) + 1,記帳區!$K:$K,"&lt;=" &amp; EOMONTH(M$2, 0),記帳區!$E:$E,$D25)</f>
        <v>0</v>
      </c>
      <c r="N25" s="81">
        <f>SUMIFS(記帳區!$F:$F,記帳區!$K:$K,"&gt;=" &amp; EOMONTH(N$2,-1) + 1,記帳區!$K:$K,"&lt;=" &amp; EOMONTH(N$2, 0),記帳區!$E:$E,$D25)</f>
        <v>0</v>
      </c>
      <c r="O25" s="81">
        <f>SUMIFS(記帳區!$F:$F,記帳區!$K:$K,"&gt;=" &amp; EOMONTH(O$2,-1) + 1,記帳區!$K:$K,"&lt;=" &amp; EOMONTH(O$2, 0),記帳區!$E:$E,$D25)</f>
        <v>0</v>
      </c>
      <c r="P25" s="81">
        <f>SUMIFS(記帳區!$F:$F,記帳區!$K:$K,"&gt;=" &amp; EOMONTH(P$2,-1) + 1,記帳區!$K:$K,"&lt;=" &amp; EOMONTH(P$2, 0),記帳區!$E:$E,$D25)</f>
        <v>0</v>
      </c>
      <c r="Q25" s="81">
        <f>SUMIFS(記帳區!$F:$F,記帳區!$K:$K,"&gt;=" &amp; EOMONTH(Q$2,-1) + 1,記帳區!$K:$K,"&lt;=" &amp; EOMONTH(Q$2, 0),記帳區!$E:$E,$D25)</f>
        <v>0</v>
      </c>
      <c r="R25" s="81">
        <f>SUMIFS(記帳區!$F:$F,記帳區!$K:$K,"&gt;=" &amp; EOMONTH(R$2,-1) + 1,記帳區!$K:$K,"&lt;=" &amp; EOMONTH(R$2, 0),記帳區!$E:$E,$D25)</f>
        <v>0</v>
      </c>
      <c r="S25" s="81">
        <f>SUMIFS(記帳區!$F:$F,記帳區!$K:$K,"&gt;=" &amp; EOMONTH(S$2,-1) + 1,記帳區!$K:$K,"&lt;=" &amp; EOMONTH(S$2, 0),記帳區!$E:$E,$D25)</f>
        <v>0</v>
      </c>
    </row>
    <row r="26" spans="2:19">
      <c r="B26" s="298"/>
      <c r="C26" s="325"/>
      <c r="D26" s="97" t="s">
        <v>397</v>
      </c>
      <c r="E26" s="98"/>
      <c r="G26" s="89">
        <f>SUMIFS(記帳區!$F:$F,記帳區!$K:$K,"&gt;=" &amp; EOMONTH(G$2,-1) + 1,記帳區!$K:$K,"&lt;=" &amp; EOMONTH(G$2, 0),記帳區!$D:$D,$D26)</f>
        <v>0</v>
      </c>
      <c r="H26" s="89">
        <f>SUMIFS(記帳區!$F:$F,記帳區!$K:$K,"&gt;=" &amp; EOMONTH(H$2,-1) + 1,記帳區!$K:$K,"&lt;=" &amp; EOMONTH(H$2, 0),記帳區!$D:$D,$D26)</f>
        <v>0</v>
      </c>
      <c r="I26" s="89">
        <f>SUMIFS(記帳區!$F:$F,記帳區!$K:$K,"&gt;=" &amp; EOMONTH(I$2,-1) + 1,記帳區!$K:$K,"&lt;=" &amp; EOMONTH(I$2, 0),記帳區!$D:$D,$D26)</f>
        <v>0</v>
      </c>
      <c r="J26" s="89">
        <f>SUMIFS(記帳區!$F:$F,記帳區!$K:$K,"&gt;=" &amp; EOMONTH(J$2,-1) + 1,記帳區!$K:$K,"&lt;=" &amp; EOMONTH(J$2, 0),記帳區!$D:$D,$D26)</f>
        <v>0</v>
      </c>
      <c r="K26" s="89">
        <f>SUMIFS(記帳區!$F:$F,記帳區!$K:$K,"&gt;=" &amp; EOMONTH(K$2,-1) + 1,記帳區!$K:$K,"&lt;=" &amp; EOMONTH(K$2, 0),記帳區!$D:$D,$D26)</f>
        <v>0</v>
      </c>
      <c r="L26" s="89">
        <f>SUMIFS(記帳區!$F:$F,記帳區!$K:$K,"&gt;=" &amp; EOMONTH(L$2,-1) + 1,記帳區!$K:$K,"&lt;=" &amp; EOMONTH(L$2, 0),記帳區!$D:$D,$D26)</f>
        <v>0</v>
      </c>
      <c r="M26" s="89">
        <f>SUMIFS(記帳區!$F:$F,記帳區!$K:$K,"&gt;=" &amp; EOMONTH(M$2,-1) + 1,記帳區!$K:$K,"&lt;=" &amp; EOMONTH(M$2, 0),記帳區!$D:$D,$D26)</f>
        <v>0</v>
      </c>
      <c r="N26" s="89">
        <f>SUMIFS(記帳區!$F:$F,記帳區!$K:$K,"&gt;=" &amp; EOMONTH(N$2,-1) + 1,記帳區!$K:$K,"&lt;=" &amp; EOMONTH(N$2, 0),記帳區!$D:$D,$D26)</f>
        <v>0</v>
      </c>
      <c r="O26" s="89">
        <f>SUMIFS(記帳區!$F:$F,記帳區!$K:$K,"&gt;=" &amp; EOMONTH(O$2,-1) + 1,記帳區!$K:$K,"&lt;=" &amp; EOMONTH(O$2, 0),記帳區!$D:$D,$D26)</f>
        <v>0</v>
      </c>
      <c r="P26" s="89">
        <f>SUMIFS(記帳區!$F:$F,記帳區!$K:$K,"&gt;=" &amp; EOMONTH(P$2,-1) + 1,記帳區!$K:$K,"&lt;=" &amp; EOMONTH(P$2, 0),記帳區!$D:$D,$D26)</f>
        <v>0</v>
      </c>
      <c r="Q26" s="89">
        <f>SUMIFS(記帳區!$F:$F,記帳區!$K:$K,"&gt;=" &amp; EOMONTH(Q$2,-1) + 1,記帳區!$K:$K,"&lt;=" &amp; EOMONTH(Q$2, 0),記帳區!$D:$D,$D26)</f>
        <v>0</v>
      </c>
      <c r="R26" s="89">
        <f>SUMIFS(記帳區!$F:$F,記帳區!$K:$K,"&gt;=" &amp; EOMONTH(R$2,-1) + 1,記帳區!$K:$K,"&lt;=" &amp; EOMONTH(R$2, 0),記帳區!$D:$D,$D26)</f>
        <v>0</v>
      </c>
      <c r="S26" s="89">
        <f>SUMIFS(記帳區!$F:$F,記帳區!$K:$K,"&gt;=" &amp; EOMONTH(S$2,-1) + 1,記帳區!$K:$K,"&lt;=" &amp; EOMONTH(S$2, 0),記帳區!$D:$D,$D26)</f>
        <v>0</v>
      </c>
    </row>
    <row r="27" spans="2:19" ht="15.6" customHeight="1" outlineLevel="1">
      <c r="B27" s="298"/>
      <c r="C27" s="325"/>
      <c r="D27" s="99" t="s">
        <v>439</v>
      </c>
      <c r="E27" s="98"/>
      <c r="G27" s="81">
        <f>SUMIFS(記帳區!$F:$F,記帳區!$K:$K,"&gt;=" &amp; EOMONTH(G$2,-1) + 1,記帳區!$K:$K,"&lt;=" &amp; EOMONTH(G$2, 0),記帳區!$E:$E,$D27)</f>
        <v>0</v>
      </c>
      <c r="H27" s="81">
        <f>SUMIFS(記帳區!$F:$F,記帳區!$K:$K,"&gt;=" &amp; EOMONTH(H$2,-1) + 1,記帳區!$K:$K,"&lt;=" &amp; EOMONTH(H$2, 0),記帳區!$E:$E,$D27)</f>
        <v>0</v>
      </c>
      <c r="I27" s="81">
        <f>SUMIFS(記帳區!$F:$F,記帳區!$K:$K,"&gt;=" &amp; EOMONTH(I$2,-1) + 1,記帳區!$K:$K,"&lt;=" &amp; EOMONTH(I$2, 0),記帳區!$E:$E,$D27)</f>
        <v>0</v>
      </c>
      <c r="J27" s="81">
        <f>SUMIFS(記帳區!$F:$F,記帳區!$K:$K,"&gt;=" &amp; EOMONTH(J$2,-1) + 1,記帳區!$K:$K,"&lt;=" &amp; EOMONTH(J$2, 0),記帳區!$E:$E,$D27)</f>
        <v>0</v>
      </c>
      <c r="K27" s="81">
        <f>SUMIFS(記帳區!$F:$F,記帳區!$K:$K,"&gt;=" &amp; EOMONTH(K$2,-1) + 1,記帳區!$K:$K,"&lt;=" &amp; EOMONTH(K$2, 0),記帳區!$E:$E,$D27)</f>
        <v>0</v>
      </c>
      <c r="L27" s="81">
        <f>SUMIFS(記帳區!$F:$F,記帳區!$K:$K,"&gt;=" &amp; EOMONTH(L$2,-1) + 1,記帳區!$K:$K,"&lt;=" &amp; EOMONTH(L$2, 0),記帳區!$E:$E,$D27)</f>
        <v>0</v>
      </c>
      <c r="M27" s="81">
        <f>SUMIFS(記帳區!$F:$F,記帳區!$K:$K,"&gt;=" &amp; EOMONTH(M$2,-1) + 1,記帳區!$K:$K,"&lt;=" &amp; EOMONTH(M$2, 0),記帳區!$E:$E,$D27)</f>
        <v>0</v>
      </c>
      <c r="N27" s="81">
        <f>SUMIFS(記帳區!$F:$F,記帳區!$K:$K,"&gt;=" &amp; EOMONTH(N$2,-1) + 1,記帳區!$K:$K,"&lt;=" &amp; EOMONTH(N$2, 0),記帳區!$E:$E,$D27)</f>
        <v>0</v>
      </c>
      <c r="O27" s="81">
        <f>SUMIFS(記帳區!$F:$F,記帳區!$K:$K,"&gt;=" &amp; EOMONTH(O$2,-1) + 1,記帳區!$K:$K,"&lt;=" &amp; EOMONTH(O$2, 0),記帳區!$E:$E,$D27)</f>
        <v>0</v>
      </c>
      <c r="P27" s="81">
        <f>SUMIFS(記帳區!$F:$F,記帳區!$K:$K,"&gt;=" &amp; EOMONTH(P$2,-1) + 1,記帳區!$K:$K,"&lt;=" &amp; EOMONTH(P$2, 0),記帳區!$E:$E,$D27)</f>
        <v>0</v>
      </c>
      <c r="Q27" s="81">
        <f>SUMIFS(記帳區!$F:$F,記帳區!$K:$K,"&gt;=" &amp; EOMONTH(Q$2,-1) + 1,記帳區!$K:$K,"&lt;=" &amp; EOMONTH(Q$2, 0),記帳區!$E:$E,$D27)</f>
        <v>0</v>
      </c>
      <c r="R27" s="81">
        <f>SUMIFS(記帳區!$F:$F,記帳區!$K:$K,"&gt;=" &amp; EOMONTH(R$2,-1) + 1,記帳區!$K:$K,"&lt;=" &amp; EOMONTH(R$2, 0),記帳區!$E:$E,$D27)</f>
        <v>0</v>
      </c>
      <c r="S27" s="81">
        <f>SUMIFS(記帳區!$F:$F,記帳區!$K:$K,"&gt;=" &amp; EOMONTH(S$2,-1) + 1,記帳區!$K:$K,"&lt;=" &amp; EOMONTH(S$2, 0),記帳區!$E:$E,$D27)</f>
        <v>0</v>
      </c>
    </row>
    <row r="28" spans="2:19" ht="15.6" customHeight="1" outlineLevel="1">
      <c r="B28" s="298"/>
      <c r="C28" s="325"/>
      <c r="D28" s="99" t="s">
        <v>440</v>
      </c>
      <c r="E28" s="98"/>
      <c r="G28" s="81">
        <f>SUMIFS(記帳區!$F:$F,記帳區!$K:$K,"&gt;=" &amp; EOMONTH(G$2,-1) + 1,記帳區!$K:$K,"&lt;=" &amp; EOMONTH(G$2, 0),記帳區!$E:$E,$D28)</f>
        <v>0</v>
      </c>
      <c r="H28" s="81">
        <f>SUMIFS(記帳區!$F:$F,記帳區!$K:$K,"&gt;=" &amp; EOMONTH(H$2,-1) + 1,記帳區!$K:$K,"&lt;=" &amp; EOMONTH(H$2, 0),記帳區!$E:$E,$D28)</f>
        <v>0</v>
      </c>
      <c r="I28" s="81">
        <f>SUMIFS(記帳區!$F:$F,記帳區!$K:$K,"&gt;=" &amp; EOMONTH(I$2,-1) + 1,記帳區!$K:$K,"&lt;=" &amp; EOMONTH(I$2, 0),記帳區!$E:$E,$D28)</f>
        <v>0</v>
      </c>
      <c r="J28" s="81">
        <f>SUMIFS(記帳區!$F:$F,記帳區!$K:$K,"&gt;=" &amp; EOMONTH(J$2,-1) + 1,記帳區!$K:$K,"&lt;=" &amp; EOMONTH(J$2, 0),記帳區!$E:$E,$D28)</f>
        <v>0</v>
      </c>
      <c r="K28" s="81">
        <f>SUMIFS(記帳區!$F:$F,記帳區!$K:$K,"&gt;=" &amp; EOMONTH(K$2,-1) + 1,記帳區!$K:$K,"&lt;=" &amp; EOMONTH(K$2, 0),記帳區!$E:$E,$D28)</f>
        <v>0</v>
      </c>
      <c r="L28" s="81">
        <f>SUMIFS(記帳區!$F:$F,記帳區!$K:$K,"&gt;=" &amp; EOMONTH(L$2,-1) + 1,記帳區!$K:$K,"&lt;=" &amp; EOMONTH(L$2, 0),記帳區!$E:$E,$D28)</f>
        <v>0</v>
      </c>
      <c r="M28" s="81">
        <f>SUMIFS(記帳區!$F:$F,記帳區!$K:$K,"&gt;=" &amp; EOMONTH(M$2,-1) + 1,記帳區!$K:$K,"&lt;=" &amp; EOMONTH(M$2, 0),記帳區!$E:$E,$D28)</f>
        <v>0</v>
      </c>
      <c r="N28" s="81">
        <f>SUMIFS(記帳區!$F:$F,記帳區!$K:$K,"&gt;=" &amp; EOMONTH(N$2,-1) + 1,記帳區!$K:$K,"&lt;=" &amp; EOMONTH(N$2, 0),記帳區!$E:$E,$D28)</f>
        <v>0</v>
      </c>
      <c r="O28" s="81">
        <f>SUMIFS(記帳區!$F:$F,記帳區!$K:$K,"&gt;=" &amp; EOMONTH(O$2,-1) + 1,記帳區!$K:$K,"&lt;=" &amp; EOMONTH(O$2, 0),記帳區!$E:$E,$D28)</f>
        <v>0</v>
      </c>
      <c r="P28" s="81">
        <f>SUMIFS(記帳區!$F:$F,記帳區!$K:$K,"&gt;=" &amp; EOMONTH(P$2,-1) + 1,記帳區!$K:$K,"&lt;=" &amp; EOMONTH(P$2, 0),記帳區!$E:$E,$D28)</f>
        <v>0</v>
      </c>
      <c r="Q28" s="81">
        <f>SUMIFS(記帳區!$F:$F,記帳區!$K:$K,"&gt;=" &amp; EOMONTH(Q$2,-1) + 1,記帳區!$K:$K,"&lt;=" &amp; EOMONTH(Q$2, 0),記帳區!$E:$E,$D28)</f>
        <v>0</v>
      </c>
      <c r="R28" s="81">
        <f>SUMIFS(記帳區!$F:$F,記帳區!$K:$K,"&gt;=" &amp; EOMONTH(R$2,-1) + 1,記帳區!$K:$K,"&lt;=" &amp; EOMONTH(R$2, 0),記帳區!$E:$E,$D28)</f>
        <v>0</v>
      </c>
      <c r="S28" s="81">
        <f>SUMIFS(記帳區!$F:$F,記帳區!$K:$K,"&gt;=" &amp; EOMONTH(S$2,-1) + 1,記帳區!$K:$K,"&lt;=" &amp; EOMONTH(S$2, 0),記帳區!$E:$E,$D28)</f>
        <v>0</v>
      </c>
    </row>
    <row r="29" spans="2:19" ht="16.5" customHeight="1">
      <c r="B29" s="298"/>
      <c r="C29" s="325"/>
      <c r="D29" s="97" t="s">
        <v>269</v>
      </c>
      <c r="E29" s="98"/>
      <c r="G29" s="89">
        <f>SUMIFS(記帳區!$F:$F,記帳區!$K:$K,"&gt;=" &amp; EOMONTH(G$2,-1) + 1,記帳區!$K:$K,"&lt;=" &amp; EOMONTH(G$2, 0),記帳區!$D:$D,$D29)</f>
        <v>-130</v>
      </c>
      <c r="H29" s="89">
        <f>SUMIFS(記帳區!$F:$F,記帳區!$K:$K,"&gt;=" &amp; EOMONTH(H$2,-1) + 1,記帳區!$K:$K,"&lt;=" &amp; EOMONTH(H$2, 0),記帳區!$D:$D,$D29)</f>
        <v>0</v>
      </c>
      <c r="I29" s="89">
        <f>SUMIFS(記帳區!$F:$F,記帳區!$K:$K,"&gt;=" &amp; EOMONTH(I$2,-1) + 1,記帳區!$K:$K,"&lt;=" &amp; EOMONTH(I$2, 0),記帳區!$D:$D,$D29)</f>
        <v>0</v>
      </c>
      <c r="J29" s="89">
        <f>SUMIFS(記帳區!$F:$F,記帳區!$K:$K,"&gt;=" &amp; EOMONTH(J$2,-1) + 1,記帳區!$K:$K,"&lt;=" &amp; EOMONTH(J$2, 0),記帳區!$D:$D,$D29)</f>
        <v>0</v>
      </c>
      <c r="K29" s="89">
        <f>SUMIFS(記帳區!$F:$F,記帳區!$K:$K,"&gt;=" &amp; EOMONTH(K$2,-1) + 1,記帳區!$K:$K,"&lt;=" &amp; EOMONTH(K$2, 0),記帳區!$D:$D,$D29)</f>
        <v>0</v>
      </c>
      <c r="L29" s="89">
        <f>SUMIFS(記帳區!$F:$F,記帳區!$K:$K,"&gt;=" &amp; EOMONTH(L$2,-1) + 1,記帳區!$K:$K,"&lt;=" &amp; EOMONTH(L$2, 0),記帳區!$D:$D,$D29)</f>
        <v>0</v>
      </c>
      <c r="M29" s="89">
        <f>SUMIFS(記帳區!$F:$F,記帳區!$K:$K,"&gt;=" &amp; EOMONTH(M$2,-1) + 1,記帳區!$K:$K,"&lt;=" &amp; EOMONTH(M$2, 0),記帳區!$D:$D,$D29)</f>
        <v>0</v>
      </c>
      <c r="N29" s="89">
        <f>SUMIFS(記帳區!$F:$F,記帳區!$K:$K,"&gt;=" &amp; EOMONTH(N$2,-1) + 1,記帳區!$K:$K,"&lt;=" &amp; EOMONTH(N$2, 0),記帳區!$D:$D,$D29)</f>
        <v>0</v>
      </c>
      <c r="O29" s="89">
        <f>SUMIFS(記帳區!$F:$F,記帳區!$K:$K,"&gt;=" &amp; EOMONTH(O$2,-1) + 1,記帳區!$K:$K,"&lt;=" &amp; EOMONTH(O$2, 0),記帳區!$D:$D,$D29)</f>
        <v>0</v>
      </c>
      <c r="P29" s="89">
        <f>SUMIFS(記帳區!$F:$F,記帳區!$K:$K,"&gt;=" &amp; EOMONTH(P$2,-1) + 1,記帳區!$K:$K,"&lt;=" &amp; EOMONTH(P$2, 0),記帳區!$D:$D,$D29)</f>
        <v>0</v>
      </c>
      <c r="Q29" s="89">
        <f>SUMIFS(記帳區!$F:$F,記帳區!$K:$K,"&gt;=" &amp; EOMONTH(Q$2,-1) + 1,記帳區!$K:$K,"&lt;=" &amp; EOMONTH(Q$2, 0),記帳區!$D:$D,$D29)</f>
        <v>0</v>
      </c>
      <c r="R29" s="89">
        <f>SUMIFS(記帳區!$F:$F,記帳區!$K:$K,"&gt;=" &amp; EOMONTH(R$2,-1) + 1,記帳區!$K:$K,"&lt;=" &amp; EOMONTH(R$2, 0),記帳區!$D:$D,$D29)</f>
        <v>0</v>
      </c>
      <c r="S29" s="89">
        <f>SUMIFS(記帳區!$F:$F,記帳區!$K:$K,"&gt;=" &amp; EOMONTH(S$2,-1) + 1,記帳區!$K:$K,"&lt;=" &amp; EOMONTH(S$2, 0),記帳區!$D:$D,$D29)</f>
        <v>0</v>
      </c>
    </row>
    <row r="30" spans="2:19" ht="15.6" customHeight="1" outlineLevel="1">
      <c r="B30" s="298"/>
      <c r="C30" s="325"/>
      <c r="D30" s="99" t="s">
        <v>270</v>
      </c>
      <c r="E30" s="98"/>
      <c r="G30" s="81">
        <f>SUMIFS(記帳區!$F:$F,記帳區!$K:$K,"&gt;=" &amp; EOMONTH(G$2,-1) + 1,記帳區!$K:$K,"&lt;=" &amp; EOMONTH(G$2, 0),記帳區!$E:$E,$D30)</f>
        <v>-130</v>
      </c>
      <c r="H30" s="81">
        <f>SUMIFS(記帳區!$F:$F,記帳區!$K:$K,"&gt;=" &amp; EOMONTH(H$2,-1) + 1,記帳區!$K:$K,"&lt;=" &amp; EOMONTH(H$2, 0),記帳區!$E:$E,$D30)</f>
        <v>0</v>
      </c>
      <c r="I30" s="81">
        <f>SUMIFS(記帳區!$F:$F,記帳區!$K:$K,"&gt;=" &amp; EOMONTH(I$2,-1) + 1,記帳區!$K:$K,"&lt;=" &amp; EOMONTH(I$2, 0),記帳區!$E:$E,$D30)</f>
        <v>0</v>
      </c>
      <c r="J30" s="81">
        <f>SUMIFS(記帳區!$F:$F,記帳區!$K:$K,"&gt;=" &amp; EOMONTH(J$2,-1) + 1,記帳區!$K:$K,"&lt;=" &amp; EOMONTH(J$2, 0),記帳區!$E:$E,$D30)</f>
        <v>0</v>
      </c>
      <c r="K30" s="81">
        <f>SUMIFS(記帳區!$F:$F,記帳區!$K:$K,"&gt;=" &amp; EOMONTH(K$2,-1) + 1,記帳區!$K:$K,"&lt;=" &amp; EOMONTH(K$2, 0),記帳區!$E:$E,$D30)</f>
        <v>0</v>
      </c>
      <c r="L30" s="81">
        <f>SUMIFS(記帳區!$F:$F,記帳區!$K:$K,"&gt;=" &amp; EOMONTH(L$2,-1) + 1,記帳區!$K:$K,"&lt;=" &amp; EOMONTH(L$2, 0),記帳區!$E:$E,$D30)</f>
        <v>0</v>
      </c>
      <c r="M30" s="81">
        <f>SUMIFS(記帳區!$F:$F,記帳區!$K:$K,"&gt;=" &amp; EOMONTH(M$2,-1) + 1,記帳區!$K:$K,"&lt;=" &amp; EOMONTH(M$2, 0),記帳區!$E:$E,$D30)</f>
        <v>0</v>
      </c>
      <c r="N30" s="81">
        <f>SUMIFS(記帳區!$F:$F,記帳區!$K:$K,"&gt;=" &amp; EOMONTH(N$2,-1) + 1,記帳區!$K:$K,"&lt;=" &amp; EOMONTH(N$2, 0),記帳區!$E:$E,$D30)</f>
        <v>0</v>
      </c>
      <c r="O30" s="81">
        <f>SUMIFS(記帳區!$F:$F,記帳區!$K:$K,"&gt;=" &amp; EOMONTH(O$2,-1) + 1,記帳區!$K:$K,"&lt;=" &amp; EOMONTH(O$2, 0),記帳區!$E:$E,$D30)</f>
        <v>0</v>
      </c>
      <c r="P30" s="81">
        <f>SUMIFS(記帳區!$F:$F,記帳區!$K:$K,"&gt;=" &amp; EOMONTH(P$2,-1) + 1,記帳區!$K:$K,"&lt;=" &amp; EOMONTH(P$2, 0),記帳區!$E:$E,$D30)</f>
        <v>0</v>
      </c>
      <c r="Q30" s="81">
        <f>SUMIFS(記帳區!$F:$F,記帳區!$K:$K,"&gt;=" &amp; EOMONTH(Q$2,-1) + 1,記帳區!$K:$K,"&lt;=" &amp; EOMONTH(Q$2, 0),記帳區!$E:$E,$D30)</f>
        <v>0</v>
      </c>
      <c r="R30" s="81">
        <f>SUMIFS(記帳區!$F:$F,記帳區!$K:$K,"&gt;=" &amp; EOMONTH(R$2,-1) + 1,記帳區!$K:$K,"&lt;=" &amp; EOMONTH(R$2, 0),記帳區!$E:$E,$D30)</f>
        <v>0</v>
      </c>
      <c r="S30" s="81">
        <f>SUMIFS(記帳區!$F:$F,記帳區!$K:$K,"&gt;=" &amp; EOMONTH(S$2,-1) + 1,記帳區!$K:$K,"&lt;=" &amp; EOMONTH(S$2, 0),記帳區!$E:$E,$D30)</f>
        <v>0</v>
      </c>
    </row>
    <row r="31" spans="2:19" ht="15.6" customHeight="1" outlineLevel="1">
      <c r="B31" s="298"/>
      <c r="C31" s="325"/>
      <c r="D31" s="99" t="s">
        <v>441</v>
      </c>
      <c r="E31" s="98"/>
      <c r="G31" s="81">
        <f>SUMIFS(記帳區!$F:$F,記帳區!$K:$K,"&gt;=" &amp; EOMONTH(G$2,-1) + 1,記帳區!$K:$K,"&lt;=" &amp; EOMONTH(G$2, 0),記帳區!$E:$E,$D31)</f>
        <v>0</v>
      </c>
      <c r="H31" s="81">
        <f>SUMIFS(記帳區!$F:$F,記帳區!$K:$K,"&gt;=" &amp; EOMONTH(H$2,-1) + 1,記帳區!$K:$K,"&lt;=" &amp; EOMONTH(H$2, 0),記帳區!$E:$E,$D31)</f>
        <v>0</v>
      </c>
      <c r="I31" s="81">
        <f>SUMIFS(記帳區!$F:$F,記帳區!$K:$K,"&gt;=" &amp; EOMONTH(I$2,-1) + 1,記帳區!$K:$K,"&lt;=" &amp; EOMONTH(I$2, 0),記帳區!$E:$E,$D31)</f>
        <v>0</v>
      </c>
      <c r="J31" s="81">
        <f>SUMIFS(記帳區!$F:$F,記帳區!$K:$K,"&gt;=" &amp; EOMONTH(J$2,-1) + 1,記帳區!$K:$K,"&lt;=" &amp; EOMONTH(J$2, 0),記帳區!$E:$E,$D31)</f>
        <v>0</v>
      </c>
      <c r="K31" s="81">
        <f>SUMIFS(記帳區!$F:$F,記帳區!$K:$K,"&gt;=" &amp; EOMONTH(K$2,-1) + 1,記帳區!$K:$K,"&lt;=" &amp; EOMONTH(K$2, 0),記帳區!$E:$E,$D31)</f>
        <v>0</v>
      </c>
      <c r="L31" s="81">
        <f>SUMIFS(記帳區!$F:$F,記帳區!$K:$K,"&gt;=" &amp; EOMONTH(L$2,-1) + 1,記帳區!$K:$K,"&lt;=" &amp; EOMONTH(L$2, 0),記帳區!$E:$E,$D31)</f>
        <v>0</v>
      </c>
      <c r="M31" s="81">
        <f>SUMIFS(記帳區!$F:$F,記帳區!$K:$K,"&gt;=" &amp; EOMONTH(M$2,-1) + 1,記帳區!$K:$K,"&lt;=" &amp; EOMONTH(M$2, 0),記帳區!$E:$E,$D31)</f>
        <v>0</v>
      </c>
      <c r="N31" s="81">
        <f>SUMIFS(記帳區!$F:$F,記帳區!$K:$K,"&gt;=" &amp; EOMONTH(N$2,-1) + 1,記帳區!$K:$K,"&lt;=" &amp; EOMONTH(N$2, 0),記帳區!$E:$E,$D31)</f>
        <v>0</v>
      </c>
      <c r="O31" s="81">
        <f>SUMIFS(記帳區!$F:$F,記帳區!$K:$K,"&gt;=" &amp; EOMONTH(O$2,-1) + 1,記帳區!$K:$K,"&lt;=" &amp; EOMONTH(O$2, 0),記帳區!$E:$E,$D31)</f>
        <v>0</v>
      </c>
      <c r="P31" s="81">
        <f>SUMIFS(記帳區!$F:$F,記帳區!$K:$K,"&gt;=" &amp; EOMONTH(P$2,-1) + 1,記帳區!$K:$K,"&lt;=" &amp; EOMONTH(P$2, 0),記帳區!$E:$E,$D31)</f>
        <v>0</v>
      </c>
      <c r="Q31" s="81">
        <f>SUMIFS(記帳區!$F:$F,記帳區!$K:$K,"&gt;=" &amp; EOMONTH(Q$2,-1) + 1,記帳區!$K:$K,"&lt;=" &amp; EOMONTH(Q$2, 0),記帳區!$E:$E,$D31)</f>
        <v>0</v>
      </c>
      <c r="R31" s="81">
        <f>SUMIFS(記帳區!$F:$F,記帳區!$K:$K,"&gt;=" &amp; EOMONTH(R$2,-1) + 1,記帳區!$K:$K,"&lt;=" &amp; EOMONTH(R$2, 0),記帳區!$E:$E,$D31)</f>
        <v>0</v>
      </c>
      <c r="S31" s="81">
        <f>SUMIFS(記帳區!$F:$F,記帳區!$K:$K,"&gt;=" &amp; EOMONTH(S$2,-1) + 1,記帳區!$K:$K,"&lt;=" &amp; EOMONTH(S$2, 0),記帳區!$E:$E,$D31)</f>
        <v>0</v>
      </c>
    </row>
    <row r="32" spans="2:19" ht="15.6" customHeight="1" outlineLevel="1">
      <c r="B32" s="298"/>
      <c r="C32" s="325"/>
      <c r="D32" s="99" t="s">
        <v>442</v>
      </c>
      <c r="E32" s="98"/>
      <c r="G32" s="81">
        <f>SUMIFS(記帳區!$F:$F,記帳區!$K:$K,"&gt;=" &amp; EOMONTH(G$2,-1) + 1,記帳區!$K:$K,"&lt;=" &amp; EOMONTH(G$2, 0),記帳區!$E:$E,$D32)</f>
        <v>0</v>
      </c>
      <c r="H32" s="81">
        <f>SUMIFS(記帳區!$F:$F,記帳區!$K:$K,"&gt;=" &amp; EOMONTH(H$2,-1) + 1,記帳區!$K:$K,"&lt;=" &amp; EOMONTH(H$2, 0),記帳區!$E:$E,$D32)</f>
        <v>0</v>
      </c>
      <c r="I32" s="81">
        <f>SUMIFS(記帳區!$F:$F,記帳區!$K:$K,"&gt;=" &amp; EOMONTH(I$2,-1) + 1,記帳區!$K:$K,"&lt;=" &amp; EOMONTH(I$2, 0),記帳區!$E:$E,$D32)</f>
        <v>0</v>
      </c>
      <c r="J32" s="81">
        <f>SUMIFS(記帳區!$F:$F,記帳區!$K:$K,"&gt;=" &amp; EOMONTH(J$2,-1) + 1,記帳區!$K:$K,"&lt;=" &amp; EOMONTH(J$2, 0),記帳區!$E:$E,$D32)</f>
        <v>0</v>
      </c>
      <c r="K32" s="81">
        <f>SUMIFS(記帳區!$F:$F,記帳區!$K:$K,"&gt;=" &amp; EOMONTH(K$2,-1) + 1,記帳區!$K:$K,"&lt;=" &amp; EOMONTH(K$2, 0),記帳區!$E:$E,$D32)</f>
        <v>0</v>
      </c>
      <c r="L32" s="81">
        <f>SUMIFS(記帳區!$F:$F,記帳區!$K:$K,"&gt;=" &amp; EOMONTH(L$2,-1) + 1,記帳區!$K:$K,"&lt;=" &amp; EOMONTH(L$2, 0),記帳區!$E:$E,$D32)</f>
        <v>0</v>
      </c>
      <c r="M32" s="81">
        <f>SUMIFS(記帳區!$F:$F,記帳區!$K:$K,"&gt;=" &amp; EOMONTH(M$2,-1) + 1,記帳區!$K:$K,"&lt;=" &amp; EOMONTH(M$2, 0),記帳區!$E:$E,$D32)</f>
        <v>0</v>
      </c>
      <c r="N32" s="81">
        <f>SUMIFS(記帳區!$F:$F,記帳區!$K:$K,"&gt;=" &amp; EOMONTH(N$2,-1) + 1,記帳區!$K:$K,"&lt;=" &amp; EOMONTH(N$2, 0),記帳區!$E:$E,$D32)</f>
        <v>0</v>
      </c>
      <c r="O32" s="81">
        <f>SUMIFS(記帳區!$F:$F,記帳區!$K:$K,"&gt;=" &amp; EOMONTH(O$2,-1) + 1,記帳區!$K:$K,"&lt;=" &amp; EOMONTH(O$2, 0),記帳區!$E:$E,$D32)</f>
        <v>0</v>
      </c>
      <c r="P32" s="81">
        <f>SUMIFS(記帳區!$F:$F,記帳區!$K:$K,"&gt;=" &amp; EOMONTH(P$2,-1) + 1,記帳區!$K:$K,"&lt;=" &amp; EOMONTH(P$2, 0),記帳區!$E:$E,$D32)</f>
        <v>0</v>
      </c>
      <c r="Q32" s="81">
        <f>SUMIFS(記帳區!$F:$F,記帳區!$K:$K,"&gt;=" &amp; EOMONTH(Q$2,-1) + 1,記帳區!$K:$K,"&lt;=" &amp; EOMONTH(Q$2, 0),記帳區!$E:$E,$D32)</f>
        <v>0</v>
      </c>
      <c r="R32" s="81">
        <f>SUMIFS(記帳區!$F:$F,記帳區!$K:$K,"&gt;=" &amp; EOMONTH(R$2,-1) + 1,記帳區!$K:$K,"&lt;=" &amp; EOMONTH(R$2, 0),記帳區!$E:$E,$D32)</f>
        <v>0</v>
      </c>
      <c r="S32" s="81">
        <f>SUMIFS(記帳區!$F:$F,記帳區!$K:$K,"&gt;=" &amp; EOMONTH(S$2,-1) + 1,記帳區!$K:$K,"&lt;=" &amp; EOMONTH(S$2, 0),記帳區!$E:$E,$D32)</f>
        <v>0</v>
      </c>
    </row>
    <row r="33" spans="2:19" ht="15.6" customHeight="1" outlineLevel="1">
      <c r="B33" s="298"/>
      <c r="C33" s="325"/>
      <c r="D33" s="99" t="s">
        <v>443</v>
      </c>
      <c r="E33" s="98"/>
      <c r="G33" s="81">
        <f>SUMIFS(記帳區!$F:$F,記帳區!$K:$K,"&gt;=" &amp; EOMONTH(G$2,-1) + 1,記帳區!$K:$K,"&lt;=" &amp; EOMONTH(G$2, 0),記帳區!$E:$E,$D33)</f>
        <v>0</v>
      </c>
      <c r="H33" s="81">
        <f>SUMIFS(記帳區!$F:$F,記帳區!$K:$K,"&gt;=" &amp; EOMONTH(H$2,-1) + 1,記帳區!$K:$K,"&lt;=" &amp; EOMONTH(H$2, 0),記帳區!$E:$E,$D33)</f>
        <v>0</v>
      </c>
      <c r="I33" s="81">
        <f>SUMIFS(記帳區!$F:$F,記帳區!$K:$K,"&gt;=" &amp; EOMONTH(I$2,-1) + 1,記帳區!$K:$K,"&lt;=" &amp; EOMONTH(I$2, 0),記帳區!$E:$E,$D33)</f>
        <v>0</v>
      </c>
      <c r="J33" s="81">
        <f>SUMIFS(記帳區!$F:$F,記帳區!$K:$K,"&gt;=" &amp; EOMONTH(J$2,-1) + 1,記帳區!$K:$K,"&lt;=" &amp; EOMONTH(J$2, 0),記帳區!$E:$E,$D33)</f>
        <v>0</v>
      </c>
      <c r="K33" s="81">
        <f>SUMIFS(記帳區!$F:$F,記帳區!$K:$K,"&gt;=" &amp; EOMONTH(K$2,-1) + 1,記帳區!$K:$K,"&lt;=" &amp; EOMONTH(K$2, 0),記帳區!$E:$E,$D33)</f>
        <v>0</v>
      </c>
      <c r="L33" s="81">
        <f>SUMIFS(記帳區!$F:$F,記帳區!$K:$K,"&gt;=" &amp; EOMONTH(L$2,-1) + 1,記帳區!$K:$K,"&lt;=" &amp; EOMONTH(L$2, 0),記帳區!$E:$E,$D33)</f>
        <v>0</v>
      </c>
      <c r="M33" s="81">
        <f>SUMIFS(記帳區!$F:$F,記帳區!$K:$K,"&gt;=" &amp; EOMONTH(M$2,-1) + 1,記帳區!$K:$K,"&lt;=" &amp; EOMONTH(M$2, 0),記帳區!$E:$E,$D33)</f>
        <v>0</v>
      </c>
      <c r="N33" s="81">
        <f>SUMIFS(記帳區!$F:$F,記帳區!$K:$K,"&gt;=" &amp; EOMONTH(N$2,-1) + 1,記帳區!$K:$K,"&lt;=" &amp; EOMONTH(N$2, 0),記帳區!$E:$E,$D33)</f>
        <v>0</v>
      </c>
      <c r="O33" s="81">
        <f>SUMIFS(記帳區!$F:$F,記帳區!$K:$K,"&gt;=" &amp; EOMONTH(O$2,-1) + 1,記帳區!$K:$K,"&lt;=" &amp; EOMONTH(O$2, 0),記帳區!$E:$E,$D33)</f>
        <v>0</v>
      </c>
      <c r="P33" s="81">
        <f>SUMIFS(記帳區!$F:$F,記帳區!$K:$K,"&gt;=" &amp; EOMONTH(P$2,-1) + 1,記帳區!$K:$K,"&lt;=" &amp; EOMONTH(P$2, 0),記帳區!$E:$E,$D33)</f>
        <v>0</v>
      </c>
      <c r="Q33" s="81">
        <f>SUMIFS(記帳區!$F:$F,記帳區!$K:$K,"&gt;=" &amp; EOMONTH(Q$2,-1) + 1,記帳區!$K:$K,"&lt;=" &amp; EOMONTH(Q$2, 0),記帳區!$E:$E,$D33)</f>
        <v>0</v>
      </c>
      <c r="R33" s="81">
        <f>SUMIFS(記帳區!$F:$F,記帳區!$K:$K,"&gt;=" &amp; EOMONTH(R$2,-1) + 1,記帳區!$K:$K,"&lt;=" &amp; EOMONTH(R$2, 0),記帳區!$E:$E,$D33)</f>
        <v>0</v>
      </c>
      <c r="S33" s="81">
        <f>SUMIFS(記帳區!$F:$F,記帳區!$K:$K,"&gt;=" &amp; EOMONTH(S$2,-1) + 1,記帳區!$K:$K,"&lt;=" &amp; EOMONTH(S$2, 0),記帳區!$E:$E,$D33)</f>
        <v>0</v>
      </c>
    </row>
    <row r="34" spans="2:19" ht="15.6" customHeight="1" outlineLevel="1">
      <c r="B34" s="298"/>
      <c r="C34" s="325"/>
      <c r="D34" s="99" t="s">
        <v>401</v>
      </c>
      <c r="E34" s="98"/>
      <c r="G34" s="81">
        <f>SUMIFS(記帳區!$F:$F,記帳區!$K:$K,"&gt;=" &amp; EOMONTH(G$2,-1) + 1,記帳區!$K:$K,"&lt;=" &amp; EOMONTH(G$2, 0),記帳區!$E:$E,$D34)</f>
        <v>0</v>
      </c>
      <c r="H34" s="81">
        <f>SUMIFS(記帳區!$F:$F,記帳區!$K:$K,"&gt;=" &amp; EOMONTH(H$2,-1) + 1,記帳區!$K:$K,"&lt;=" &amp; EOMONTH(H$2, 0),記帳區!$E:$E,$D34)</f>
        <v>0</v>
      </c>
      <c r="I34" s="81">
        <f>SUMIFS(記帳區!$F:$F,記帳區!$K:$K,"&gt;=" &amp; EOMONTH(I$2,-1) + 1,記帳區!$K:$K,"&lt;=" &amp; EOMONTH(I$2, 0),記帳區!$E:$E,$D34)</f>
        <v>0</v>
      </c>
      <c r="J34" s="81">
        <f>SUMIFS(記帳區!$F:$F,記帳區!$K:$K,"&gt;=" &amp; EOMONTH(J$2,-1) + 1,記帳區!$K:$K,"&lt;=" &amp; EOMONTH(J$2, 0),記帳區!$E:$E,$D34)</f>
        <v>0</v>
      </c>
      <c r="K34" s="81">
        <f>SUMIFS(記帳區!$F:$F,記帳區!$K:$K,"&gt;=" &amp; EOMONTH(K$2,-1) + 1,記帳區!$K:$K,"&lt;=" &amp; EOMONTH(K$2, 0),記帳區!$E:$E,$D34)</f>
        <v>0</v>
      </c>
      <c r="L34" s="81">
        <f>SUMIFS(記帳區!$F:$F,記帳區!$K:$K,"&gt;=" &amp; EOMONTH(L$2,-1) + 1,記帳區!$K:$K,"&lt;=" &amp; EOMONTH(L$2, 0),記帳區!$E:$E,$D34)</f>
        <v>0</v>
      </c>
      <c r="M34" s="81">
        <f>SUMIFS(記帳區!$F:$F,記帳區!$K:$K,"&gt;=" &amp; EOMONTH(M$2,-1) + 1,記帳區!$K:$K,"&lt;=" &amp; EOMONTH(M$2, 0),記帳區!$E:$E,$D34)</f>
        <v>0</v>
      </c>
      <c r="N34" s="81">
        <f>SUMIFS(記帳區!$F:$F,記帳區!$K:$K,"&gt;=" &amp; EOMONTH(N$2,-1) + 1,記帳區!$K:$K,"&lt;=" &amp; EOMONTH(N$2, 0),記帳區!$E:$E,$D34)</f>
        <v>0</v>
      </c>
      <c r="O34" s="81">
        <f>SUMIFS(記帳區!$F:$F,記帳區!$K:$K,"&gt;=" &amp; EOMONTH(O$2,-1) + 1,記帳區!$K:$K,"&lt;=" &amp; EOMONTH(O$2, 0),記帳區!$E:$E,$D34)</f>
        <v>0</v>
      </c>
      <c r="P34" s="81">
        <f>SUMIFS(記帳區!$F:$F,記帳區!$K:$K,"&gt;=" &amp; EOMONTH(P$2,-1) + 1,記帳區!$K:$K,"&lt;=" &amp; EOMONTH(P$2, 0),記帳區!$E:$E,$D34)</f>
        <v>0</v>
      </c>
      <c r="Q34" s="81">
        <f>SUMIFS(記帳區!$F:$F,記帳區!$K:$K,"&gt;=" &amp; EOMONTH(Q$2,-1) + 1,記帳區!$K:$K,"&lt;=" &amp; EOMONTH(Q$2, 0),記帳區!$E:$E,$D34)</f>
        <v>0</v>
      </c>
      <c r="R34" s="81">
        <f>SUMIFS(記帳區!$F:$F,記帳區!$K:$K,"&gt;=" &amp; EOMONTH(R$2,-1) + 1,記帳區!$K:$K,"&lt;=" &amp; EOMONTH(R$2, 0),記帳區!$E:$E,$D34)</f>
        <v>0</v>
      </c>
      <c r="S34" s="81">
        <f>SUMIFS(記帳區!$F:$F,記帳區!$K:$K,"&gt;=" &amp; EOMONTH(S$2,-1) + 1,記帳區!$K:$K,"&lt;=" &amp; EOMONTH(S$2, 0),記帳區!$E:$E,$D34)</f>
        <v>0</v>
      </c>
    </row>
    <row r="35" spans="2:19" ht="15.6" customHeight="1" outlineLevel="1">
      <c r="B35" s="298"/>
      <c r="C35" s="325"/>
      <c r="D35" s="99" t="s">
        <v>160</v>
      </c>
      <c r="E35" s="98"/>
      <c r="G35" s="81">
        <f>SUMIFS(記帳區!$F:$F,記帳區!$K:$K,"&gt;=" &amp; EOMONTH(G$2,-1) + 1,記帳區!$K:$K,"&lt;=" &amp; EOMONTH(G$2, 0),記帳區!$E:$E,$D35)</f>
        <v>0</v>
      </c>
      <c r="H35" s="81">
        <f>SUMIFS(記帳區!$F:$F,記帳區!$K:$K,"&gt;=" &amp; EOMONTH(H$2,-1) + 1,記帳區!$K:$K,"&lt;=" &amp; EOMONTH(H$2, 0),記帳區!$E:$E,$D35)</f>
        <v>0</v>
      </c>
      <c r="I35" s="81">
        <f>SUMIFS(記帳區!$F:$F,記帳區!$K:$K,"&gt;=" &amp; EOMONTH(I$2,-1) + 1,記帳區!$K:$K,"&lt;=" &amp; EOMONTH(I$2, 0),記帳區!$E:$E,$D35)</f>
        <v>0</v>
      </c>
      <c r="J35" s="81">
        <f>SUMIFS(記帳區!$F:$F,記帳區!$K:$K,"&gt;=" &amp; EOMONTH(J$2,-1) + 1,記帳區!$K:$K,"&lt;=" &amp; EOMONTH(J$2, 0),記帳區!$E:$E,$D35)</f>
        <v>0</v>
      </c>
      <c r="K35" s="81">
        <f>SUMIFS(記帳區!$F:$F,記帳區!$K:$K,"&gt;=" &amp; EOMONTH(K$2,-1) + 1,記帳區!$K:$K,"&lt;=" &amp; EOMONTH(K$2, 0),記帳區!$E:$E,$D35)</f>
        <v>0</v>
      </c>
      <c r="L35" s="81">
        <f>SUMIFS(記帳區!$F:$F,記帳區!$K:$K,"&gt;=" &amp; EOMONTH(L$2,-1) + 1,記帳區!$K:$K,"&lt;=" &amp; EOMONTH(L$2, 0),記帳區!$E:$E,$D35)</f>
        <v>0</v>
      </c>
      <c r="M35" s="81">
        <f>SUMIFS(記帳區!$F:$F,記帳區!$K:$K,"&gt;=" &amp; EOMONTH(M$2,-1) + 1,記帳區!$K:$K,"&lt;=" &amp; EOMONTH(M$2, 0),記帳區!$E:$E,$D35)</f>
        <v>0</v>
      </c>
      <c r="N35" s="81">
        <f>SUMIFS(記帳區!$F:$F,記帳區!$K:$K,"&gt;=" &amp; EOMONTH(N$2,-1) + 1,記帳區!$K:$K,"&lt;=" &amp; EOMONTH(N$2, 0),記帳區!$E:$E,$D35)</f>
        <v>0</v>
      </c>
      <c r="O35" s="81">
        <f>SUMIFS(記帳區!$F:$F,記帳區!$K:$K,"&gt;=" &amp; EOMONTH(O$2,-1) + 1,記帳區!$K:$K,"&lt;=" &amp; EOMONTH(O$2, 0),記帳區!$E:$E,$D35)</f>
        <v>0</v>
      </c>
      <c r="P35" s="81">
        <f>SUMIFS(記帳區!$F:$F,記帳區!$K:$K,"&gt;=" &amp; EOMONTH(P$2,-1) + 1,記帳區!$K:$K,"&lt;=" &amp; EOMONTH(P$2, 0),記帳區!$E:$E,$D35)</f>
        <v>0</v>
      </c>
      <c r="Q35" s="81">
        <f>SUMIFS(記帳區!$F:$F,記帳區!$K:$K,"&gt;=" &amp; EOMONTH(Q$2,-1) + 1,記帳區!$K:$K,"&lt;=" &amp; EOMONTH(Q$2, 0),記帳區!$E:$E,$D35)</f>
        <v>0</v>
      </c>
      <c r="R35" s="81">
        <f>SUMIFS(記帳區!$F:$F,記帳區!$K:$K,"&gt;=" &amp; EOMONTH(R$2,-1) + 1,記帳區!$K:$K,"&lt;=" &amp; EOMONTH(R$2, 0),記帳區!$E:$E,$D35)</f>
        <v>0</v>
      </c>
      <c r="S35" s="81">
        <f>SUMIFS(記帳區!$F:$F,記帳區!$K:$K,"&gt;=" &amp; EOMONTH(S$2,-1) + 1,記帳區!$K:$K,"&lt;=" &amp; EOMONTH(S$2, 0),記帳區!$E:$E,$D35)</f>
        <v>0</v>
      </c>
    </row>
    <row r="36" spans="2:19" ht="15.6" customHeight="1" outlineLevel="1">
      <c r="B36" s="298"/>
      <c r="C36" s="325"/>
      <c r="D36" s="99" t="s">
        <v>444</v>
      </c>
      <c r="E36" s="98"/>
      <c r="G36" s="81">
        <f>SUMIFS(記帳區!$F:$F,記帳區!$K:$K,"&gt;=" &amp; EOMONTH(G$2,-1) + 1,記帳區!$K:$K,"&lt;=" &amp; EOMONTH(G$2, 0),記帳區!$E:$E,$D36)</f>
        <v>0</v>
      </c>
      <c r="H36" s="81">
        <f>SUMIFS(記帳區!$F:$F,記帳區!$K:$K,"&gt;=" &amp; EOMONTH(H$2,-1) + 1,記帳區!$K:$K,"&lt;=" &amp; EOMONTH(H$2, 0),記帳區!$E:$E,$D36)</f>
        <v>0</v>
      </c>
      <c r="I36" s="81">
        <f>SUMIFS(記帳區!$F:$F,記帳區!$K:$K,"&gt;=" &amp; EOMONTH(I$2,-1) + 1,記帳區!$K:$K,"&lt;=" &amp; EOMONTH(I$2, 0),記帳區!$E:$E,$D36)</f>
        <v>0</v>
      </c>
      <c r="J36" s="81">
        <f>SUMIFS(記帳區!$F:$F,記帳區!$K:$K,"&gt;=" &amp; EOMONTH(J$2,-1) + 1,記帳區!$K:$K,"&lt;=" &amp; EOMONTH(J$2, 0),記帳區!$E:$E,$D36)</f>
        <v>0</v>
      </c>
      <c r="K36" s="81">
        <f>SUMIFS(記帳區!$F:$F,記帳區!$K:$K,"&gt;=" &amp; EOMONTH(K$2,-1) + 1,記帳區!$K:$K,"&lt;=" &amp; EOMONTH(K$2, 0),記帳區!$E:$E,$D36)</f>
        <v>0</v>
      </c>
      <c r="L36" s="81">
        <f>SUMIFS(記帳區!$F:$F,記帳區!$K:$K,"&gt;=" &amp; EOMONTH(L$2,-1) + 1,記帳區!$K:$K,"&lt;=" &amp; EOMONTH(L$2, 0),記帳區!$E:$E,$D36)</f>
        <v>0</v>
      </c>
      <c r="M36" s="81">
        <f>SUMIFS(記帳區!$F:$F,記帳區!$K:$K,"&gt;=" &amp; EOMONTH(M$2,-1) + 1,記帳區!$K:$K,"&lt;=" &amp; EOMONTH(M$2, 0),記帳區!$E:$E,$D36)</f>
        <v>0</v>
      </c>
      <c r="N36" s="81">
        <f>SUMIFS(記帳區!$F:$F,記帳區!$K:$K,"&gt;=" &amp; EOMONTH(N$2,-1) + 1,記帳區!$K:$K,"&lt;=" &amp; EOMONTH(N$2, 0),記帳區!$E:$E,$D36)</f>
        <v>0</v>
      </c>
      <c r="O36" s="81">
        <f>SUMIFS(記帳區!$F:$F,記帳區!$K:$K,"&gt;=" &amp; EOMONTH(O$2,-1) + 1,記帳區!$K:$K,"&lt;=" &amp; EOMONTH(O$2, 0),記帳區!$E:$E,$D36)</f>
        <v>0</v>
      </c>
      <c r="P36" s="81">
        <f>SUMIFS(記帳區!$F:$F,記帳區!$K:$K,"&gt;=" &amp; EOMONTH(P$2,-1) + 1,記帳區!$K:$K,"&lt;=" &amp; EOMONTH(P$2, 0),記帳區!$E:$E,$D36)</f>
        <v>0</v>
      </c>
      <c r="Q36" s="81">
        <f>SUMIFS(記帳區!$F:$F,記帳區!$K:$K,"&gt;=" &amp; EOMONTH(Q$2,-1) + 1,記帳區!$K:$K,"&lt;=" &amp; EOMONTH(Q$2, 0),記帳區!$E:$E,$D36)</f>
        <v>0</v>
      </c>
      <c r="R36" s="81">
        <f>SUMIFS(記帳區!$F:$F,記帳區!$K:$K,"&gt;=" &amp; EOMONTH(R$2,-1) + 1,記帳區!$K:$K,"&lt;=" &amp; EOMONTH(R$2, 0),記帳區!$E:$E,$D36)</f>
        <v>0</v>
      </c>
      <c r="S36" s="81">
        <f>SUMIFS(記帳區!$F:$F,記帳區!$K:$K,"&gt;=" &amp; EOMONTH(S$2,-1) + 1,記帳區!$K:$K,"&lt;=" &amp; EOMONTH(S$2, 0),記帳區!$E:$E,$D36)</f>
        <v>0</v>
      </c>
    </row>
    <row r="37" spans="2:19">
      <c r="B37" s="298"/>
      <c r="C37" s="325"/>
      <c r="D37" s="97" t="s">
        <v>268</v>
      </c>
      <c r="E37" s="98"/>
      <c r="G37" s="89">
        <f>SUMIFS(記帳區!$F:$F,記帳區!$K:$K,"&gt;=" &amp; EOMONTH(G$2,-1) + 1,記帳區!$K:$K,"&lt;=" &amp; EOMONTH(G$2, 0),記帳區!$D:$D,$D37)</f>
        <v>-2530</v>
      </c>
      <c r="H37" s="89">
        <f>SUMIFS(記帳區!$F:$F,記帳區!$K:$K,"&gt;=" &amp; EOMONTH(H$2,-1) + 1,記帳區!$K:$K,"&lt;=" &amp; EOMONTH(H$2, 0),記帳區!$D:$D,$D37)</f>
        <v>0</v>
      </c>
      <c r="I37" s="89">
        <f>SUMIFS(記帳區!$F:$F,記帳區!$K:$K,"&gt;=" &amp; EOMONTH(I$2,-1) + 1,記帳區!$K:$K,"&lt;=" &amp; EOMONTH(I$2, 0),記帳區!$D:$D,$D37)</f>
        <v>0</v>
      </c>
      <c r="J37" s="89">
        <f>SUMIFS(記帳區!$F:$F,記帳區!$K:$K,"&gt;=" &amp; EOMONTH(J$2,-1) + 1,記帳區!$K:$K,"&lt;=" &amp; EOMONTH(J$2, 0),記帳區!$D:$D,$D37)</f>
        <v>0</v>
      </c>
      <c r="K37" s="89">
        <f>SUMIFS(記帳區!$F:$F,記帳區!$K:$K,"&gt;=" &amp; EOMONTH(K$2,-1) + 1,記帳區!$K:$K,"&lt;=" &amp; EOMONTH(K$2, 0),記帳區!$D:$D,$D37)</f>
        <v>0</v>
      </c>
      <c r="L37" s="89">
        <f>SUMIFS(記帳區!$F:$F,記帳區!$K:$K,"&gt;=" &amp; EOMONTH(L$2,-1) + 1,記帳區!$K:$K,"&lt;=" &amp; EOMONTH(L$2, 0),記帳區!$D:$D,$D37)</f>
        <v>0</v>
      </c>
      <c r="M37" s="89">
        <f>SUMIFS(記帳區!$F:$F,記帳區!$K:$K,"&gt;=" &amp; EOMONTH(M$2,-1) + 1,記帳區!$K:$K,"&lt;=" &amp; EOMONTH(M$2, 0),記帳區!$D:$D,$D37)</f>
        <v>0</v>
      </c>
      <c r="N37" s="89">
        <f>SUMIFS(記帳區!$F:$F,記帳區!$K:$K,"&gt;=" &amp; EOMONTH(N$2,-1) + 1,記帳區!$K:$K,"&lt;=" &amp; EOMONTH(N$2, 0),記帳區!$D:$D,$D37)</f>
        <v>0</v>
      </c>
      <c r="O37" s="89">
        <f>SUMIFS(記帳區!$F:$F,記帳區!$K:$K,"&gt;=" &amp; EOMONTH(O$2,-1) + 1,記帳區!$K:$K,"&lt;=" &amp; EOMONTH(O$2, 0),記帳區!$D:$D,$D37)</f>
        <v>0</v>
      </c>
      <c r="P37" s="89">
        <f>SUMIFS(記帳區!$F:$F,記帳區!$K:$K,"&gt;=" &amp; EOMONTH(P$2,-1) + 1,記帳區!$K:$K,"&lt;=" &amp; EOMONTH(P$2, 0),記帳區!$D:$D,$D37)</f>
        <v>0</v>
      </c>
      <c r="Q37" s="89">
        <f>SUMIFS(記帳區!$F:$F,記帳區!$K:$K,"&gt;=" &amp; EOMONTH(Q$2,-1) + 1,記帳區!$K:$K,"&lt;=" &amp; EOMONTH(Q$2, 0),記帳區!$D:$D,$D37)</f>
        <v>0</v>
      </c>
      <c r="R37" s="89">
        <f>SUMIFS(記帳區!$F:$F,記帳區!$K:$K,"&gt;=" &amp; EOMONTH(R$2,-1) + 1,記帳區!$K:$K,"&lt;=" &amp; EOMONTH(R$2, 0),記帳區!$D:$D,$D37)</f>
        <v>0</v>
      </c>
      <c r="S37" s="89">
        <f>SUMIFS(記帳區!$F:$F,記帳區!$K:$K,"&gt;=" &amp; EOMONTH(S$2,-1) + 1,記帳區!$K:$K,"&lt;=" &amp; EOMONTH(S$2, 0),記帳區!$D:$D,$D37)</f>
        <v>0</v>
      </c>
    </row>
    <row r="38" spans="2:19" ht="15.6" customHeight="1" outlineLevel="1">
      <c r="B38" s="298"/>
      <c r="C38" s="325"/>
      <c r="D38" s="99" t="s">
        <v>167</v>
      </c>
      <c r="E38" s="98"/>
      <c r="G38" s="81">
        <f>SUMIFS(記帳區!$F:$F,記帳區!$K:$K,"&gt;=" &amp; EOMONTH(G$2,-1) + 1,記帳區!$K:$K,"&lt;=" &amp; EOMONTH(G$2, 0),記帳區!$E:$E,$D38)</f>
        <v>0</v>
      </c>
      <c r="H38" s="81">
        <f>SUMIFS(記帳區!$F:$F,記帳區!$K:$K,"&gt;=" &amp; EOMONTH(H$2,-1) + 1,記帳區!$K:$K,"&lt;=" &amp; EOMONTH(H$2, 0),記帳區!$E:$E,$D38)</f>
        <v>0</v>
      </c>
      <c r="I38" s="81">
        <f>SUMIFS(記帳區!$F:$F,記帳區!$K:$K,"&gt;=" &amp; EOMONTH(I$2,-1) + 1,記帳區!$K:$K,"&lt;=" &amp; EOMONTH(I$2, 0),記帳區!$E:$E,$D38)</f>
        <v>0</v>
      </c>
      <c r="J38" s="81">
        <f>SUMIFS(記帳區!$F:$F,記帳區!$K:$K,"&gt;=" &amp; EOMONTH(J$2,-1) + 1,記帳區!$K:$K,"&lt;=" &amp; EOMONTH(J$2, 0),記帳區!$E:$E,$D38)</f>
        <v>0</v>
      </c>
      <c r="K38" s="81">
        <f>SUMIFS(記帳區!$F:$F,記帳區!$K:$K,"&gt;=" &amp; EOMONTH(K$2,-1) + 1,記帳區!$K:$K,"&lt;=" &amp; EOMONTH(K$2, 0),記帳區!$E:$E,$D38)</f>
        <v>0</v>
      </c>
      <c r="L38" s="81">
        <f>SUMIFS(記帳區!$F:$F,記帳區!$K:$K,"&gt;=" &amp; EOMONTH(L$2,-1) + 1,記帳區!$K:$K,"&lt;=" &amp; EOMONTH(L$2, 0),記帳區!$E:$E,$D38)</f>
        <v>0</v>
      </c>
      <c r="M38" s="81">
        <f>SUMIFS(記帳區!$F:$F,記帳區!$K:$K,"&gt;=" &amp; EOMONTH(M$2,-1) + 1,記帳區!$K:$K,"&lt;=" &amp; EOMONTH(M$2, 0),記帳區!$E:$E,$D38)</f>
        <v>0</v>
      </c>
      <c r="N38" s="81">
        <f>SUMIFS(記帳區!$F:$F,記帳區!$K:$K,"&gt;=" &amp; EOMONTH(N$2,-1) + 1,記帳區!$K:$K,"&lt;=" &amp; EOMONTH(N$2, 0),記帳區!$E:$E,$D38)</f>
        <v>0</v>
      </c>
      <c r="O38" s="81">
        <f>SUMIFS(記帳區!$F:$F,記帳區!$K:$K,"&gt;=" &amp; EOMONTH(O$2,-1) + 1,記帳區!$K:$K,"&lt;=" &amp; EOMONTH(O$2, 0),記帳區!$E:$E,$D38)</f>
        <v>0</v>
      </c>
      <c r="P38" s="81">
        <f>SUMIFS(記帳區!$F:$F,記帳區!$K:$K,"&gt;=" &amp; EOMONTH(P$2,-1) + 1,記帳區!$K:$K,"&lt;=" &amp; EOMONTH(P$2, 0),記帳區!$E:$E,$D38)</f>
        <v>0</v>
      </c>
      <c r="Q38" s="81">
        <f>SUMIFS(記帳區!$F:$F,記帳區!$K:$K,"&gt;=" &amp; EOMONTH(Q$2,-1) + 1,記帳區!$K:$K,"&lt;=" &amp; EOMONTH(Q$2, 0),記帳區!$E:$E,$D38)</f>
        <v>0</v>
      </c>
      <c r="R38" s="81">
        <f>SUMIFS(記帳區!$F:$F,記帳區!$K:$K,"&gt;=" &amp; EOMONTH(R$2,-1) + 1,記帳區!$K:$K,"&lt;=" &amp; EOMONTH(R$2, 0),記帳區!$E:$E,$D38)</f>
        <v>0</v>
      </c>
      <c r="S38" s="81">
        <f>SUMIFS(記帳區!$F:$F,記帳區!$K:$K,"&gt;=" &amp; EOMONTH(S$2,-1) + 1,記帳區!$K:$K,"&lt;=" &amp; EOMONTH(S$2, 0),記帳區!$E:$E,$D38)</f>
        <v>0</v>
      </c>
    </row>
    <row r="39" spans="2:19" ht="15.6" customHeight="1" outlineLevel="1">
      <c r="B39" s="298"/>
      <c r="C39" s="325"/>
      <c r="D39" s="99" t="s">
        <v>168</v>
      </c>
      <c r="E39" s="98"/>
      <c r="G39" s="81">
        <f>SUMIFS(記帳區!$F:$F,記帳區!$K:$K,"&gt;=" &amp; EOMONTH(G$2,-1) + 1,記帳區!$K:$K,"&lt;=" &amp; EOMONTH(G$2, 0),記帳區!$E:$E,$D39)</f>
        <v>-1340</v>
      </c>
      <c r="H39" s="81">
        <f>SUMIFS(記帳區!$F:$F,記帳區!$K:$K,"&gt;=" &amp; EOMONTH(H$2,-1) + 1,記帳區!$K:$K,"&lt;=" &amp; EOMONTH(H$2, 0),記帳區!$E:$E,$D39)</f>
        <v>0</v>
      </c>
      <c r="I39" s="81">
        <f>SUMIFS(記帳區!$F:$F,記帳區!$K:$K,"&gt;=" &amp; EOMONTH(I$2,-1) + 1,記帳區!$K:$K,"&lt;=" &amp; EOMONTH(I$2, 0),記帳區!$E:$E,$D39)</f>
        <v>0</v>
      </c>
      <c r="J39" s="81">
        <f>SUMIFS(記帳區!$F:$F,記帳區!$K:$K,"&gt;=" &amp; EOMONTH(J$2,-1) + 1,記帳區!$K:$K,"&lt;=" &amp; EOMONTH(J$2, 0),記帳區!$E:$E,$D39)</f>
        <v>0</v>
      </c>
      <c r="K39" s="81">
        <f>SUMIFS(記帳區!$F:$F,記帳區!$K:$K,"&gt;=" &amp; EOMONTH(K$2,-1) + 1,記帳區!$K:$K,"&lt;=" &amp; EOMONTH(K$2, 0),記帳區!$E:$E,$D39)</f>
        <v>0</v>
      </c>
      <c r="L39" s="81">
        <f>SUMIFS(記帳區!$F:$F,記帳區!$K:$K,"&gt;=" &amp; EOMONTH(L$2,-1) + 1,記帳區!$K:$K,"&lt;=" &amp; EOMONTH(L$2, 0),記帳區!$E:$E,$D39)</f>
        <v>0</v>
      </c>
      <c r="M39" s="81">
        <f>SUMIFS(記帳區!$F:$F,記帳區!$K:$K,"&gt;=" &amp; EOMONTH(M$2,-1) + 1,記帳區!$K:$K,"&lt;=" &amp; EOMONTH(M$2, 0),記帳區!$E:$E,$D39)</f>
        <v>0</v>
      </c>
      <c r="N39" s="81">
        <f>SUMIFS(記帳區!$F:$F,記帳區!$K:$K,"&gt;=" &amp; EOMONTH(N$2,-1) + 1,記帳區!$K:$K,"&lt;=" &amp; EOMONTH(N$2, 0),記帳區!$E:$E,$D39)</f>
        <v>0</v>
      </c>
      <c r="O39" s="81">
        <f>SUMIFS(記帳區!$F:$F,記帳區!$K:$K,"&gt;=" &amp; EOMONTH(O$2,-1) + 1,記帳區!$K:$K,"&lt;=" &amp; EOMONTH(O$2, 0),記帳區!$E:$E,$D39)</f>
        <v>0</v>
      </c>
      <c r="P39" s="81">
        <f>SUMIFS(記帳區!$F:$F,記帳區!$K:$K,"&gt;=" &amp; EOMONTH(P$2,-1) + 1,記帳區!$K:$K,"&lt;=" &amp; EOMONTH(P$2, 0),記帳區!$E:$E,$D39)</f>
        <v>0</v>
      </c>
      <c r="Q39" s="81">
        <f>SUMIFS(記帳區!$F:$F,記帳區!$K:$K,"&gt;=" &amp; EOMONTH(Q$2,-1) + 1,記帳區!$K:$K,"&lt;=" &amp; EOMONTH(Q$2, 0),記帳區!$E:$E,$D39)</f>
        <v>0</v>
      </c>
      <c r="R39" s="81">
        <f>SUMIFS(記帳區!$F:$F,記帳區!$K:$K,"&gt;=" &amp; EOMONTH(R$2,-1) + 1,記帳區!$K:$K,"&lt;=" &amp; EOMONTH(R$2, 0),記帳區!$E:$E,$D39)</f>
        <v>0</v>
      </c>
      <c r="S39" s="81">
        <f>SUMIFS(記帳區!$F:$F,記帳區!$K:$K,"&gt;=" &amp; EOMONTH(S$2,-1) + 1,記帳區!$K:$K,"&lt;=" &amp; EOMONTH(S$2, 0),記帳區!$E:$E,$D39)</f>
        <v>0</v>
      </c>
    </row>
    <row r="40" spans="2:19" ht="15.6" customHeight="1" outlineLevel="1">
      <c r="B40" s="298"/>
      <c r="C40" s="325"/>
      <c r="D40" s="99" t="s">
        <v>169</v>
      </c>
      <c r="E40" s="98"/>
      <c r="G40" s="81">
        <f>SUMIFS(記帳區!$F:$F,記帳區!$K:$K,"&gt;=" &amp; EOMONTH(G$2,-1) + 1,記帳區!$K:$K,"&lt;=" &amp; EOMONTH(G$2, 0),記帳區!$E:$E,$D40)</f>
        <v>0</v>
      </c>
      <c r="H40" s="81">
        <f>SUMIFS(記帳區!$F:$F,記帳區!$K:$K,"&gt;=" &amp; EOMONTH(H$2,-1) + 1,記帳區!$K:$K,"&lt;=" &amp; EOMONTH(H$2, 0),記帳區!$E:$E,$D40)</f>
        <v>0</v>
      </c>
      <c r="I40" s="81">
        <f>SUMIFS(記帳區!$F:$F,記帳區!$K:$K,"&gt;=" &amp; EOMONTH(I$2,-1) + 1,記帳區!$K:$K,"&lt;=" &amp; EOMONTH(I$2, 0),記帳區!$E:$E,$D40)</f>
        <v>0</v>
      </c>
      <c r="J40" s="81">
        <f>SUMIFS(記帳區!$F:$F,記帳區!$K:$K,"&gt;=" &amp; EOMONTH(J$2,-1) + 1,記帳區!$K:$K,"&lt;=" &amp; EOMONTH(J$2, 0),記帳區!$E:$E,$D40)</f>
        <v>0</v>
      </c>
      <c r="K40" s="81">
        <f>SUMIFS(記帳區!$F:$F,記帳區!$K:$K,"&gt;=" &amp; EOMONTH(K$2,-1) + 1,記帳區!$K:$K,"&lt;=" &amp; EOMONTH(K$2, 0),記帳區!$E:$E,$D40)</f>
        <v>0</v>
      </c>
      <c r="L40" s="81">
        <f>SUMIFS(記帳區!$F:$F,記帳區!$K:$K,"&gt;=" &amp; EOMONTH(L$2,-1) + 1,記帳區!$K:$K,"&lt;=" &amp; EOMONTH(L$2, 0),記帳區!$E:$E,$D40)</f>
        <v>0</v>
      </c>
      <c r="M40" s="81">
        <f>SUMIFS(記帳區!$F:$F,記帳區!$K:$K,"&gt;=" &amp; EOMONTH(M$2,-1) + 1,記帳區!$K:$K,"&lt;=" &amp; EOMONTH(M$2, 0),記帳區!$E:$E,$D40)</f>
        <v>0</v>
      </c>
      <c r="N40" s="81">
        <f>SUMIFS(記帳區!$F:$F,記帳區!$K:$K,"&gt;=" &amp; EOMONTH(N$2,-1) + 1,記帳區!$K:$K,"&lt;=" &amp; EOMONTH(N$2, 0),記帳區!$E:$E,$D40)</f>
        <v>0</v>
      </c>
      <c r="O40" s="81">
        <f>SUMIFS(記帳區!$F:$F,記帳區!$K:$K,"&gt;=" &amp; EOMONTH(O$2,-1) + 1,記帳區!$K:$K,"&lt;=" &amp; EOMONTH(O$2, 0),記帳區!$E:$E,$D40)</f>
        <v>0</v>
      </c>
      <c r="P40" s="81">
        <f>SUMIFS(記帳區!$F:$F,記帳區!$K:$K,"&gt;=" &amp; EOMONTH(P$2,-1) + 1,記帳區!$K:$K,"&lt;=" &amp; EOMONTH(P$2, 0),記帳區!$E:$E,$D40)</f>
        <v>0</v>
      </c>
      <c r="Q40" s="81">
        <f>SUMIFS(記帳區!$F:$F,記帳區!$K:$K,"&gt;=" &amp; EOMONTH(Q$2,-1) + 1,記帳區!$K:$K,"&lt;=" &amp; EOMONTH(Q$2, 0),記帳區!$E:$E,$D40)</f>
        <v>0</v>
      </c>
      <c r="R40" s="81">
        <f>SUMIFS(記帳區!$F:$F,記帳區!$K:$K,"&gt;=" &amp; EOMONTH(R$2,-1) + 1,記帳區!$K:$K,"&lt;=" &amp; EOMONTH(R$2, 0),記帳區!$E:$E,$D40)</f>
        <v>0</v>
      </c>
      <c r="S40" s="81">
        <f>SUMIFS(記帳區!$F:$F,記帳區!$K:$K,"&gt;=" &amp; EOMONTH(S$2,-1) + 1,記帳區!$K:$K,"&lt;=" &amp; EOMONTH(S$2, 0),記帳區!$E:$E,$D40)</f>
        <v>0</v>
      </c>
    </row>
    <row r="41" spans="2:19" ht="15.6" customHeight="1" outlineLevel="1">
      <c r="B41" s="298"/>
      <c r="C41" s="325"/>
      <c r="D41" s="99" t="s">
        <v>445</v>
      </c>
      <c r="E41" s="98"/>
      <c r="G41" s="81">
        <f>SUMIFS(記帳區!$F:$F,記帳區!$K:$K,"&gt;=" &amp; EOMONTH(G$2,-1) + 1,記帳區!$K:$K,"&lt;=" &amp; EOMONTH(G$2, 0),記帳區!$E:$E,$D41)</f>
        <v>0</v>
      </c>
      <c r="H41" s="81">
        <f>SUMIFS(記帳區!$F:$F,記帳區!$K:$K,"&gt;=" &amp; EOMONTH(H$2,-1) + 1,記帳區!$K:$K,"&lt;=" &amp; EOMONTH(H$2, 0),記帳區!$E:$E,$D41)</f>
        <v>0</v>
      </c>
      <c r="I41" s="81">
        <f>SUMIFS(記帳區!$F:$F,記帳區!$K:$K,"&gt;=" &amp; EOMONTH(I$2,-1) + 1,記帳區!$K:$K,"&lt;=" &amp; EOMONTH(I$2, 0),記帳區!$E:$E,$D41)</f>
        <v>0</v>
      </c>
      <c r="J41" s="81">
        <f>SUMIFS(記帳區!$F:$F,記帳區!$K:$K,"&gt;=" &amp; EOMONTH(J$2,-1) + 1,記帳區!$K:$K,"&lt;=" &amp; EOMONTH(J$2, 0),記帳區!$E:$E,$D41)</f>
        <v>0</v>
      </c>
      <c r="K41" s="81">
        <f>SUMIFS(記帳區!$F:$F,記帳區!$K:$K,"&gt;=" &amp; EOMONTH(K$2,-1) + 1,記帳區!$K:$K,"&lt;=" &amp; EOMONTH(K$2, 0),記帳區!$E:$E,$D41)</f>
        <v>0</v>
      </c>
      <c r="L41" s="81">
        <f>SUMIFS(記帳區!$F:$F,記帳區!$K:$K,"&gt;=" &amp; EOMONTH(L$2,-1) + 1,記帳區!$K:$K,"&lt;=" &amp; EOMONTH(L$2, 0),記帳區!$E:$E,$D41)</f>
        <v>0</v>
      </c>
      <c r="M41" s="81">
        <f>SUMIFS(記帳區!$F:$F,記帳區!$K:$K,"&gt;=" &amp; EOMONTH(M$2,-1) + 1,記帳區!$K:$K,"&lt;=" &amp; EOMONTH(M$2, 0),記帳區!$E:$E,$D41)</f>
        <v>0</v>
      </c>
      <c r="N41" s="81">
        <f>SUMIFS(記帳區!$F:$F,記帳區!$K:$K,"&gt;=" &amp; EOMONTH(N$2,-1) + 1,記帳區!$K:$K,"&lt;=" &amp; EOMONTH(N$2, 0),記帳區!$E:$E,$D41)</f>
        <v>0</v>
      </c>
      <c r="O41" s="81">
        <f>SUMIFS(記帳區!$F:$F,記帳區!$K:$K,"&gt;=" &amp; EOMONTH(O$2,-1) + 1,記帳區!$K:$K,"&lt;=" &amp; EOMONTH(O$2, 0),記帳區!$E:$E,$D41)</f>
        <v>0</v>
      </c>
      <c r="P41" s="81">
        <f>SUMIFS(記帳區!$F:$F,記帳區!$K:$K,"&gt;=" &amp; EOMONTH(P$2,-1) + 1,記帳區!$K:$K,"&lt;=" &amp; EOMONTH(P$2, 0),記帳區!$E:$E,$D41)</f>
        <v>0</v>
      </c>
      <c r="Q41" s="81">
        <f>SUMIFS(記帳區!$F:$F,記帳區!$K:$K,"&gt;=" &amp; EOMONTH(Q$2,-1) + 1,記帳區!$K:$K,"&lt;=" &amp; EOMONTH(Q$2, 0),記帳區!$E:$E,$D41)</f>
        <v>0</v>
      </c>
      <c r="R41" s="81">
        <f>SUMIFS(記帳區!$F:$F,記帳區!$K:$K,"&gt;=" &amp; EOMONTH(R$2,-1) + 1,記帳區!$K:$K,"&lt;=" &amp; EOMONTH(R$2, 0),記帳區!$E:$E,$D41)</f>
        <v>0</v>
      </c>
      <c r="S41" s="81">
        <f>SUMIFS(記帳區!$F:$F,記帳區!$K:$K,"&gt;=" &amp; EOMONTH(S$2,-1) + 1,記帳區!$K:$K,"&lt;=" &amp; EOMONTH(S$2, 0),記帳區!$E:$E,$D41)</f>
        <v>0</v>
      </c>
    </row>
    <row r="42" spans="2:19" ht="15.6" customHeight="1" outlineLevel="1">
      <c r="B42" s="298"/>
      <c r="C42" s="325"/>
      <c r="D42" s="99" t="s">
        <v>446</v>
      </c>
      <c r="E42" s="98"/>
      <c r="G42" s="81">
        <f>SUMIFS(記帳區!$F:$F,記帳區!$K:$K,"&gt;=" &amp; EOMONTH(G$2,-1) + 1,記帳區!$K:$K,"&lt;=" &amp; EOMONTH(G$2, 0),記帳區!$E:$E,$D42)</f>
        <v>0</v>
      </c>
      <c r="H42" s="81">
        <f>SUMIFS(記帳區!$F:$F,記帳區!$K:$K,"&gt;=" &amp; EOMONTH(H$2,-1) + 1,記帳區!$K:$K,"&lt;=" &amp; EOMONTH(H$2, 0),記帳區!$E:$E,$D42)</f>
        <v>0</v>
      </c>
      <c r="I42" s="81">
        <f>SUMIFS(記帳區!$F:$F,記帳區!$K:$K,"&gt;=" &amp; EOMONTH(I$2,-1) + 1,記帳區!$K:$K,"&lt;=" &amp; EOMONTH(I$2, 0),記帳區!$E:$E,$D42)</f>
        <v>0</v>
      </c>
      <c r="J42" s="81">
        <f>SUMIFS(記帳區!$F:$F,記帳區!$K:$K,"&gt;=" &amp; EOMONTH(J$2,-1) + 1,記帳區!$K:$K,"&lt;=" &amp; EOMONTH(J$2, 0),記帳區!$E:$E,$D42)</f>
        <v>0</v>
      </c>
      <c r="K42" s="81">
        <f>SUMIFS(記帳區!$F:$F,記帳區!$K:$K,"&gt;=" &amp; EOMONTH(K$2,-1) + 1,記帳區!$K:$K,"&lt;=" &amp; EOMONTH(K$2, 0),記帳區!$E:$E,$D42)</f>
        <v>0</v>
      </c>
      <c r="L42" s="81">
        <f>SUMIFS(記帳區!$F:$F,記帳區!$K:$K,"&gt;=" &amp; EOMONTH(L$2,-1) + 1,記帳區!$K:$K,"&lt;=" &amp; EOMONTH(L$2, 0),記帳區!$E:$E,$D42)</f>
        <v>0</v>
      </c>
      <c r="M42" s="81">
        <f>SUMIFS(記帳區!$F:$F,記帳區!$K:$K,"&gt;=" &amp; EOMONTH(M$2,-1) + 1,記帳區!$K:$K,"&lt;=" &amp; EOMONTH(M$2, 0),記帳區!$E:$E,$D42)</f>
        <v>0</v>
      </c>
      <c r="N42" s="81">
        <f>SUMIFS(記帳區!$F:$F,記帳區!$K:$K,"&gt;=" &amp; EOMONTH(N$2,-1) + 1,記帳區!$K:$K,"&lt;=" &amp; EOMONTH(N$2, 0),記帳區!$E:$E,$D42)</f>
        <v>0</v>
      </c>
      <c r="O42" s="81">
        <f>SUMIFS(記帳區!$F:$F,記帳區!$K:$K,"&gt;=" &amp; EOMONTH(O$2,-1) + 1,記帳區!$K:$K,"&lt;=" &amp; EOMONTH(O$2, 0),記帳區!$E:$E,$D42)</f>
        <v>0</v>
      </c>
      <c r="P42" s="81">
        <f>SUMIFS(記帳區!$F:$F,記帳區!$K:$K,"&gt;=" &amp; EOMONTH(P$2,-1) + 1,記帳區!$K:$K,"&lt;=" &amp; EOMONTH(P$2, 0),記帳區!$E:$E,$D42)</f>
        <v>0</v>
      </c>
      <c r="Q42" s="81">
        <f>SUMIFS(記帳區!$F:$F,記帳區!$K:$K,"&gt;=" &amp; EOMONTH(Q$2,-1) + 1,記帳區!$K:$K,"&lt;=" &amp; EOMONTH(Q$2, 0),記帳區!$E:$E,$D42)</f>
        <v>0</v>
      </c>
      <c r="R42" s="81">
        <f>SUMIFS(記帳區!$F:$F,記帳區!$K:$K,"&gt;=" &amp; EOMONTH(R$2,-1) + 1,記帳區!$K:$K,"&lt;=" &amp; EOMONTH(R$2, 0),記帳區!$E:$E,$D42)</f>
        <v>0</v>
      </c>
      <c r="S42" s="81">
        <f>SUMIFS(記帳區!$F:$F,記帳區!$K:$K,"&gt;=" &amp; EOMONTH(S$2,-1) + 1,記帳區!$K:$K,"&lt;=" &amp; EOMONTH(S$2, 0),記帳區!$E:$E,$D42)</f>
        <v>0</v>
      </c>
    </row>
    <row r="43" spans="2:19">
      <c r="B43" s="298"/>
      <c r="C43" s="325"/>
      <c r="D43" s="97" t="s">
        <v>499</v>
      </c>
      <c r="E43" s="98"/>
      <c r="G43" s="89">
        <f>SUMIFS(記帳區!$F:$F,記帳區!$K:$K,"&gt;=" &amp; EOMONTH(G$2,-1) + 1,記帳區!$K:$K,"&lt;=" &amp; EOMONTH(G$2, 0),記帳區!$D:$D,$D43)</f>
        <v>0</v>
      </c>
      <c r="H43" s="89">
        <f>SUMIFS(記帳區!$F:$F,記帳區!$K:$K,"&gt;=" &amp; EOMONTH(H$2,-1) + 1,記帳區!$K:$K,"&lt;=" &amp; EOMONTH(H$2, 0),記帳區!$D:$D,$D43)</f>
        <v>0</v>
      </c>
      <c r="I43" s="89">
        <f>SUMIFS(記帳區!$F:$F,記帳區!$K:$K,"&gt;=" &amp; EOMONTH(I$2,-1) + 1,記帳區!$K:$K,"&lt;=" &amp; EOMONTH(I$2, 0),記帳區!$D:$D,$D43)</f>
        <v>0</v>
      </c>
      <c r="J43" s="89">
        <f>SUMIFS(記帳區!$F:$F,記帳區!$K:$K,"&gt;=" &amp; EOMONTH(J$2,-1) + 1,記帳區!$K:$K,"&lt;=" &amp; EOMONTH(J$2, 0),記帳區!$D:$D,$D43)</f>
        <v>0</v>
      </c>
      <c r="K43" s="89">
        <f>SUMIFS(記帳區!$F:$F,記帳區!$K:$K,"&gt;=" &amp; EOMONTH(K$2,-1) + 1,記帳區!$K:$K,"&lt;=" &amp; EOMONTH(K$2, 0),記帳區!$D:$D,$D43)</f>
        <v>0</v>
      </c>
      <c r="L43" s="89">
        <f>SUMIFS(記帳區!$F:$F,記帳區!$K:$K,"&gt;=" &amp; EOMONTH(L$2,-1) + 1,記帳區!$K:$K,"&lt;=" &amp; EOMONTH(L$2, 0),記帳區!$D:$D,$D43)</f>
        <v>0</v>
      </c>
      <c r="M43" s="89">
        <f>SUMIFS(記帳區!$F:$F,記帳區!$K:$K,"&gt;=" &amp; EOMONTH(M$2,-1) + 1,記帳區!$K:$K,"&lt;=" &amp; EOMONTH(M$2, 0),記帳區!$D:$D,$D43)</f>
        <v>0</v>
      </c>
      <c r="N43" s="89">
        <f>SUMIFS(記帳區!$F:$F,記帳區!$K:$K,"&gt;=" &amp; EOMONTH(N$2,-1) + 1,記帳區!$K:$K,"&lt;=" &amp; EOMONTH(N$2, 0),記帳區!$D:$D,$D43)</f>
        <v>0</v>
      </c>
      <c r="O43" s="89">
        <f>SUMIFS(記帳區!$F:$F,記帳區!$K:$K,"&gt;=" &amp; EOMONTH(O$2,-1) + 1,記帳區!$K:$K,"&lt;=" &amp; EOMONTH(O$2, 0),記帳區!$D:$D,$D43)</f>
        <v>0</v>
      </c>
      <c r="P43" s="89">
        <f>SUMIFS(記帳區!$F:$F,記帳區!$K:$K,"&gt;=" &amp; EOMONTH(P$2,-1) + 1,記帳區!$K:$K,"&lt;=" &amp; EOMONTH(P$2, 0),記帳區!$D:$D,$D43)</f>
        <v>0</v>
      </c>
      <c r="Q43" s="89">
        <f>SUMIFS(記帳區!$F:$F,記帳區!$K:$K,"&gt;=" &amp; EOMONTH(Q$2,-1) + 1,記帳區!$K:$K,"&lt;=" &amp; EOMONTH(Q$2, 0),記帳區!$D:$D,$D43)</f>
        <v>0</v>
      </c>
      <c r="R43" s="89">
        <f>SUMIFS(記帳區!$F:$F,記帳區!$K:$K,"&gt;=" &amp; EOMONTH(R$2,-1) + 1,記帳區!$K:$K,"&lt;=" &amp; EOMONTH(R$2, 0),記帳區!$D:$D,$D43)</f>
        <v>0</v>
      </c>
      <c r="S43" s="89">
        <f>SUMIFS(記帳區!$F:$F,記帳區!$K:$K,"&gt;=" &amp; EOMONTH(S$2,-1) + 1,記帳區!$K:$K,"&lt;=" &amp; EOMONTH(S$2, 0),記帳區!$D:$D,$D43)</f>
        <v>0</v>
      </c>
    </row>
    <row r="44" spans="2:19" ht="15.6" customHeight="1" outlineLevel="1">
      <c r="B44" s="298"/>
      <c r="C44" s="325"/>
      <c r="D44" s="99" t="s">
        <v>210</v>
      </c>
      <c r="E44" s="98"/>
      <c r="G44" s="81">
        <f>SUMIFS(記帳區!$F:$F,記帳區!$K:$K,"&gt;=" &amp; EOMONTH(G$2,-1) + 1,記帳區!$K:$K,"&lt;=" &amp; EOMONTH(G$2, 0),記帳區!$E:$E,$D44)</f>
        <v>0</v>
      </c>
      <c r="H44" s="81">
        <f>SUMIFS(記帳區!$F:$F,記帳區!$K:$K,"&gt;=" &amp; EOMONTH(H$2,-1) + 1,記帳區!$K:$K,"&lt;=" &amp; EOMONTH(H$2, 0),記帳區!$E:$E,$D44)</f>
        <v>0</v>
      </c>
      <c r="I44" s="81">
        <f>SUMIFS(記帳區!$F:$F,記帳區!$K:$K,"&gt;=" &amp; EOMONTH(I$2,-1) + 1,記帳區!$K:$K,"&lt;=" &amp; EOMONTH(I$2, 0),記帳區!$E:$E,$D44)</f>
        <v>0</v>
      </c>
      <c r="J44" s="81">
        <f>SUMIFS(記帳區!$F:$F,記帳區!$K:$K,"&gt;=" &amp; EOMONTH(J$2,-1) + 1,記帳區!$K:$K,"&lt;=" &amp; EOMONTH(J$2, 0),記帳區!$E:$E,$D44)</f>
        <v>0</v>
      </c>
      <c r="K44" s="81">
        <f>SUMIFS(記帳區!$F:$F,記帳區!$K:$K,"&gt;=" &amp; EOMONTH(K$2,-1) + 1,記帳區!$K:$K,"&lt;=" &amp; EOMONTH(K$2, 0),記帳區!$E:$E,$D44)</f>
        <v>0</v>
      </c>
      <c r="L44" s="81">
        <f>SUMIFS(記帳區!$F:$F,記帳區!$K:$K,"&gt;=" &amp; EOMONTH(L$2,-1) + 1,記帳區!$K:$K,"&lt;=" &amp; EOMONTH(L$2, 0),記帳區!$E:$E,$D44)</f>
        <v>0</v>
      </c>
      <c r="M44" s="81">
        <f>SUMIFS(記帳區!$F:$F,記帳區!$K:$K,"&gt;=" &amp; EOMONTH(M$2,-1) + 1,記帳區!$K:$K,"&lt;=" &amp; EOMONTH(M$2, 0),記帳區!$E:$E,$D44)</f>
        <v>0</v>
      </c>
      <c r="N44" s="81">
        <f>SUMIFS(記帳區!$F:$F,記帳區!$K:$K,"&gt;=" &amp; EOMONTH(N$2,-1) + 1,記帳區!$K:$K,"&lt;=" &amp; EOMONTH(N$2, 0),記帳區!$E:$E,$D44)</f>
        <v>0</v>
      </c>
      <c r="O44" s="81">
        <f>SUMIFS(記帳區!$F:$F,記帳區!$K:$K,"&gt;=" &amp; EOMONTH(O$2,-1) + 1,記帳區!$K:$K,"&lt;=" &amp; EOMONTH(O$2, 0),記帳區!$E:$E,$D44)</f>
        <v>0</v>
      </c>
      <c r="P44" s="81">
        <f>SUMIFS(記帳區!$F:$F,記帳區!$K:$K,"&gt;=" &amp; EOMONTH(P$2,-1) + 1,記帳區!$K:$K,"&lt;=" &amp; EOMONTH(P$2, 0),記帳區!$E:$E,$D44)</f>
        <v>0</v>
      </c>
      <c r="Q44" s="81">
        <f>SUMIFS(記帳區!$F:$F,記帳區!$K:$K,"&gt;=" &amp; EOMONTH(Q$2,-1) + 1,記帳區!$K:$K,"&lt;=" &amp; EOMONTH(Q$2, 0),記帳區!$E:$E,$D44)</f>
        <v>0</v>
      </c>
      <c r="R44" s="81">
        <f>SUMIFS(記帳區!$F:$F,記帳區!$K:$K,"&gt;=" &amp; EOMONTH(R$2,-1) + 1,記帳區!$K:$K,"&lt;=" &amp; EOMONTH(R$2, 0),記帳區!$E:$E,$D44)</f>
        <v>0</v>
      </c>
      <c r="S44" s="81">
        <f>SUMIFS(記帳區!$F:$F,記帳區!$K:$K,"&gt;=" &amp; EOMONTH(S$2,-1) + 1,記帳區!$K:$K,"&lt;=" &amp; EOMONTH(S$2, 0),記帳區!$E:$E,$D44)</f>
        <v>0</v>
      </c>
    </row>
    <row r="45" spans="2:19" ht="15.6" customHeight="1" outlineLevel="1">
      <c r="B45" s="298"/>
      <c r="C45" s="325"/>
      <c r="D45" s="99" t="s">
        <v>211</v>
      </c>
      <c r="E45" s="98"/>
      <c r="G45" s="81">
        <f>SUMIFS(記帳區!$F:$F,記帳區!$K:$K,"&gt;=" &amp; EOMONTH(G$2,-1) + 1,記帳區!$K:$K,"&lt;=" &amp; EOMONTH(G$2, 0),記帳區!$E:$E,$D45)</f>
        <v>0</v>
      </c>
      <c r="H45" s="81">
        <f>SUMIFS(記帳區!$F:$F,記帳區!$K:$K,"&gt;=" &amp; EOMONTH(H$2,-1) + 1,記帳區!$K:$K,"&lt;=" &amp; EOMONTH(H$2, 0),記帳區!$E:$E,$D45)</f>
        <v>0</v>
      </c>
      <c r="I45" s="81">
        <f>SUMIFS(記帳區!$F:$F,記帳區!$K:$K,"&gt;=" &amp; EOMONTH(I$2,-1) + 1,記帳區!$K:$K,"&lt;=" &amp; EOMONTH(I$2, 0),記帳區!$E:$E,$D45)</f>
        <v>0</v>
      </c>
      <c r="J45" s="81">
        <f>SUMIFS(記帳區!$F:$F,記帳區!$K:$K,"&gt;=" &amp; EOMONTH(J$2,-1) + 1,記帳區!$K:$K,"&lt;=" &amp; EOMONTH(J$2, 0),記帳區!$E:$E,$D45)</f>
        <v>0</v>
      </c>
      <c r="K45" s="81">
        <f>SUMIFS(記帳區!$F:$F,記帳區!$K:$K,"&gt;=" &amp; EOMONTH(K$2,-1) + 1,記帳區!$K:$K,"&lt;=" &amp; EOMONTH(K$2, 0),記帳區!$E:$E,$D45)</f>
        <v>0</v>
      </c>
      <c r="L45" s="81">
        <f>SUMIFS(記帳區!$F:$F,記帳區!$K:$K,"&gt;=" &amp; EOMONTH(L$2,-1) + 1,記帳區!$K:$K,"&lt;=" &amp; EOMONTH(L$2, 0),記帳區!$E:$E,$D45)</f>
        <v>0</v>
      </c>
      <c r="M45" s="81">
        <f>SUMIFS(記帳區!$F:$F,記帳區!$K:$K,"&gt;=" &amp; EOMONTH(M$2,-1) + 1,記帳區!$K:$K,"&lt;=" &amp; EOMONTH(M$2, 0),記帳區!$E:$E,$D45)</f>
        <v>0</v>
      </c>
      <c r="N45" s="81">
        <f>SUMIFS(記帳區!$F:$F,記帳區!$K:$K,"&gt;=" &amp; EOMONTH(N$2,-1) + 1,記帳區!$K:$K,"&lt;=" &amp; EOMONTH(N$2, 0),記帳區!$E:$E,$D45)</f>
        <v>0</v>
      </c>
      <c r="O45" s="81">
        <f>SUMIFS(記帳區!$F:$F,記帳區!$K:$K,"&gt;=" &amp; EOMONTH(O$2,-1) + 1,記帳區!$K:$K,"&lt;=" &amp; EOMONTH(O$2, 0),記帳區!$E:$E,$D45)</f>
        <v>0</v>
      </c>
      <c r="P45" s="81">
        <f>SUMIFS(記帳區!$F:$F,記帳區!$K:$K,"&gt;=" &amp; EOMONTH(P$2,-1) + 1,記帳區!$K:$K,"&lt;=" &amp; EOMONTH(P$2, 0),記帳區!$E:$E,$D45)</f>
        <v>0</v>
      </c>
      <c r="Q45" s="81">
        <f>SUMIFS(記帳區!$F:$F,記帳區!$K:$K,"&gt;=" &amp; EOMONTH(Q$2,-1) + 1,記帳區!$K:$K,"&lt;=" &amp; EOMONTH(Q$2, 0),記帳區!$E:$E,$D45)</f>
        <v>0</v>
      </c>
      <c r="R45" s="81">
        <f>SUMIFS(記帳區!$F:$F,記帳區!$K:$K,"&gt;=" &amp; EOMONTH(R$2,-1) + 1,記帳區!$K:$K,"&lt;=" &amp; EOMONTH(R$2, 0),記帳區!$E:$E,$D45)</f>
        <v>0</v>
      </c>
      <c r="S45" s="81">
        <f>SUMIFS(記帳區!$F:$F,記帳區!$K:$K,"&gt;=" &amp; EOMONTH(S$2,-1) + 1,記帳區!$K:$K,"&lt;=" &amp; EOMONTH(S$2, 0),記帳區!$E:$E,$D45)</f>
        <v>0</v>
      </c>
    </row>
    <row r="46" spans="2:19" ht="15.6" customHeight="1" outlineLevel="1">
      <c r="B46" s="298"/>
      <c r="C46" s="325"/>
      <c r="D46" s="99" t="s">
        <v>212</v>
      </c>
      <c r="E46" s="98"/>
      <c r="G46" s="81">
        <f>SUMIFS(記帳區!$F:$F,記帳區!$K:$K,"&gt;=" &amp; EOMONTH(G$2,-1) + 1,記帳區!$K:$K,"&lt;=" &amp; EOMONTH(G$2, 0),記帳區!$E:$E,$D46)</f>
        <v>0</v>
      </c>
      <c r="H46" s="81">
        <f>SUMIFS(記帳區!$F:$F,記帳區!$K:$K,"&gt;=" &amp; EOMONTH(H$2,-1) + 1,記帳區!$K:$K,"&lt;=" &amp; EOMONTH(H$2, 0),記帳區!$E:$E,$D46)</f>
        <v>0</v>
      </c>
      <c r="I46" s="81">
        <f>SUMIFS(記帳區!$F:$F,記帳區!$K:$K,"&gt;=" &amp; EOMONTH(I$2,-1) + 1,記帳區!$K:$K,"&lt;=" &amp; EOMONTH(I$2, 0),記帳區!$E:$E,$D46)</f>
        <v>0</v>
      </c>
      <c r="J46" s="81">
        <f>SUMIFS(記帳區!$F:$F,記帳區!$K:$K,"&gt;=" &amp; EOMONTH(J$2,-1) + 1,記帳區!$K:$K,"&lt;=" &amp; EOMONTH(J$2, 0),記帳區!$E:$E,$D46)</f>
        <v>0</v>
      </c>
      <c r="K46" s="81">
        <f>SUMIFS(記帳區!$F:$F,記帳區!$K:$K,"&gt;=" &amp; EOMONTH(K$2,-1) + 1,記帳區!$K:$K,"&lt;=" &amp; EOMONTH(K$2, 0),記帳區!$E:$E,$D46)</f>
        <v>0</v>
      </c>
      <c r="L46" s="81">
        <f>SUMIFS(記帳區!$F:$F,記帳區!$K:$K,"&gt;=" &amp; EOMONTH(L$2,-1) + 1,記帳區!$K:$K,"&lt;=" &amp; EOMONTH(L$2, 0),記帳區!$E:$E,$D46)</f>
        <v>0</v>
      </c>
      <c r="M46" s="81">
        <f>SUMIFS(記帳區!$F:$F,記帳區!$K:$K,"&gt;=" &amp; EOMONTH(M$2,-1) + 1,記帳區!$K:$K,"&lt;=" &amp; EOMONTH(M$2, 0),記帳區!$E:$E,$D46)</f>
        <v>0</v>
      </c>
      <c r="N46" s="81">
        <f>SUMIFS(記帳區!$F:$F,記帳區!$K:$K,"&gt;=" &amp; EOMONTH(N$2,-1) + 1,記帳區!$K:$K,"&lt;=" &amp; EOMONTH(N$2, 0),記帳區!$E:$E,$D46)</f>
        <v>0</v>
      </c>
      <c r="O46" s="81">
        <f>SUMIFS(記帳區!$F:$F,記帳區!$K:$K,"&gt;=" &amp; EOMONTH(O$2,-1) + 1,記帳區!$K:$K,"&lt;=" &amp; EOMONTH(O$2, 0),記帳區!$E:$E,$D46)</f>
        <v>0</v>
      </c>
      <c r="P46" s="81">
        <f>SUMIFS(記帳區!$F:$F,記帳區!$K:$K,"&gt;=" &amp; EOMONTH(P$2,-1) + 1,記帳區!$K:$K,"&lt;=" &amp; EOMONTH(P$2, 0),記帳區!$E:$E,$D46)</f>
        <v>0</v>
      </c>
      <c r="Q46" s="81">
        <f>SUMIFS(記帳區!$F:$F,記帳區!$K:$K,"&gt;=" &amp; EOMONTH(Q$2,-1) + 1,記帳區!$K:$K,"&lt;=" &amp; EOMONTH(Q$2, 0),記帳區!$E:$E,$D46)</f>
        <v>0</v>
      </c>
      <c r="R46" s="81">
        <f>SUMIFS(記帳區!$F:$F,記帳區!$K:$K,"&gt;=" &amp; EOMONTH(R$2,-1) + 1,記帳區!$K:$K,"&lt;=" &amp; EOMONTH(R$2, 0),記帳區!$E:$E,$D46)</f>
        <v>0</v>
      </c>
      <c r="S46" s="81">
        <f>SUMIFS(記帳區!$F:$F,記帳區!$K:$K,"&gt;=" &amp; EOMONTH(S$2,-1) + 1,記帳區!$K:$K,"&lt;=" &amp; EOMONTH(S$2, 0),記帳區!$E:$E,$D46)</f>
        <v>0</v>
      </c>
    </row>
    <row r="47" spans="2:19" ht="15.6" customHeight="1" outlineLevel="1">
      <c r="B47" s="298"/>
      <c r="C47" s="325"/>
      <c r="D47" s="99" t="s">
        <v>406</v>
      </c>
      <c r="E47" s="98"/>
      <c r="G47" s="81">
        <f>SUMIFS(記帳區!$F:$F,記帳區!$K:$K,"&gt;=" &amp; EOMONTH(G$2,-1) + 1,記帳區!$K:$K,"&lt;=" &amp; EOMONTH(G$2, 0),記帳區!$E:$E,$D47)</f>
        <v>0</v>
      </c>
      <c r="H47" s="81">
        <f>SUMIFS(記帳區!$F:$F,記帳區!$K:$K,"&gt;=" &amp; EOMONTH(H$2,-1) + 1,記帳區!$K:$K,"&lt;=" &amp; EOMONTH(H$2, 0),記帳區!$E:$E,$D47)</f>
        <v>0</v>
      </c>
      <c r="I47" s="81">
        <f>SUMIFS(記帳區!$F:$F,記帳區!$K:$K,"&gt;=" &amp; EOMONTH(I$2,-1) + 1,記帳區!$K:$K,"&lt;=" &amp; EOMONTH(I$2, 0),記帳區!$E:$E,$D47)</f>
        <v>0</v>
      </c>
      <c r="J47" s="81">
        <f>SUMIFS(記帳區!$F:$F,記帳區!$K:$K,"&gt;=" &amp; EOMONTH(J$2,-1) + 1,記帳區!$K:$K,"&lt;=" &amp; EOMONTH(J$2, 0),記帳區!$E:$E,$D47)</f>
        <v>0</v>
      </c>
      <c r="K47" s="81">
        <f>SUMIFS(記帳區!$F:$F,記帳區!$K:$K,"&gt;=" &amp; EOMONTH(K$2,-1) + 1,記帳區!$K:$K,"&lt;=" &amp; EOMONTH(K$2, 0),記帳區!$E:$E,$D47)</f>
        <v>0</v>
      </c>
      <c r="L47" s="81">
        <f>SUMIFS(記帳區!$F:$F,記帳區!$K:$K,"&gt;=" &amp; EOMONTH(L$2,-1) + 1,記帳區!$K:$K,"&lt;=" &amp; EOMONTH(L$2, 0),記帳區!$E:$E,$D47)</f>
        <v>0</v>
      </c>
      <c r="M47" s="81">
        <f>SUMIFS(記帳區!$F:$F,記帳區!$K:$K,"&gt;=" &amp; EOMONTH(M$2,-1) + 1,記帳區!$K:$K,"&lt;=" &amp; EOMONTH(M$2, 0),記帳區!$E:$E,$D47)</f>
        <v>0</v>
      </c>
      <c r="N47" s="81">
        <f>SUMIFS(記帳區!$F:$F,記帳區!$K:$K,"&gt;=" &amp; EOMONTH(N$2,-1) + 1,記帳區!$K:$K,"&lt;=" &amp; EOMONTH(N$2, 0),記帳區!$E:$E,$D47)</f>
        <v>0</v>
      </c>
      <c r="O47" s="81">
        <f>SUMIFS(記帳區!$F:$F,記帳區!$K:$K,"&gt;=" &amp; EOMONTH(O$2,-1) + 1,記帳區!$K:$K,"&lt;=" &amp; EOMONTH(O$2, 0),記帳區!$E:$E,$D47)</f>
        <v>0</v>
      </c>
      <c r="P47" s="81">
        <f>SUMIFS(記帳區!$F:$F,記帳區!$K:$K,"&gt;=" &amp; EOMONTH(P$2,-1) + 1,記帳區!$K:$K,"&lt;=" &amp; EOMONTH(P$2, 0),記帳區!$E:$E,$D47)</f>
        <v>0</v>
      </c>
      <c r="Q47" s="81">
        <f>SUMIFS(記帳區!$F:$F,記帳區!$K:$K,"&gt;=" &amp; EOMONTH(Q$2,-1) + 1,記帳區!$K:$K,"&lt;=" &amp; EOMONTH(Q$2, 0),記帳區!$E:$E,$D47)</f>
        <v>0</v>
      </c>
      <c r="R47" s="81">
        <f>SUMIFS(記帳區!$F:$F,記帳區!$K:$K,"&gt;=" &amp; EOMONTH(R$2,-1) + 1,記帳區!$K:$K,"&lt;=" &amp; EOMONTH(R$2, 0),記帳區!$E:$E,$D47)</f>
        <v>0</v>
      </c>
      <c r="S47" s="81">
        <f>SUMIFS(記帳區!$F:$F,記帳區!$K:$K,"&gt;=" &amp; EOMONTH(S$2,-1) + 1,記帳區!$K:$K,"&lt;=" &amp; EOMONTH(S$2, 0),記帳區!$E:$E,$D47)</f>
        <v>0</v>
      </c>
    </row>
    <row r="48" spans="2:19" ht="15.75" customHeight="1">
      <c r="B48" s="298"/>
      <c r="C48" s="325"/>
      <c r="D48" s="97" t="s">
        <v>266</v>
      </c>
      <c r="E48" s="98"/>
      <c r="G48" s="89">
        <f>SUMIFS(記帳區!$F:$F,記帳區!$K:$K,"&gt;=" &amp; EOMONTH(G$2,-1) + 1,記帳區!$K:$K,"&lt;=" &amp; EOMONTH(G$2, 0),記帳區!$D:$D,$D48)</f>
        <v>-86669</v>
      </c>
      <c r="H48" s="89">
        <f>SUMIFS(記帳區!$F:$F,記帳區!$K:$K,"&gt;=" &amp; EOMONTH(H$2,-1) + 1,記帳區!$K:$K,"&lt;=" &amp; EOMONTH(H$2, 0),記帳區!$D:$D,$D48)</f>
        <v>-86669</v>
      </c>
      <c r="I48" s="89">
        <f>SUMIFS(記帳區!$F:$F,記帳區!$K:$K,"&gt;=" &amp; EOMONTH(I$2,-1) + 1,記帳區!$K:$K,"&lt;=" &amp; EOMONTH(I$2, 0),記帳區!$D:$D,$D48)</f>
        <v>0</v>
      </c>
      <c r="J48" s="89">
        <f>SUMIFS(記帳區!$F:$F,記帳區!$K:$K,"&gt;=" &amp; EOMONTH(J$2,-1) + 1,記帳區!$K:$K,"&lt;=" &amp; EOMONTH(J$2, 0),記帳區!$D:$D,$D48)</f>
        <v>0</v>
      </c>
      <c r="K48" s="89">
        <f>SUMIFS(記帳區!$F:$F,記帳區!$K:$K,"&gt;=" &amp; EOMONTH(K$2,-1) + 1,記帳區!$K:$K,"&lt;=" &amp; EOMONTH(K$2, 0),記帳區!$D:$D,$D48)</f>
        <v>0</v>
      </c>
      <c r="L48" s="89">
        <f>SUMIFS(記帳區!$F:$F,記帳區!$K:$K,"&gt;=" &amp; EOMONTH(L$2,-1) + 1,記帳區!$K:$K,"&lt;=" &amp; EOMONTH(L$2, 0),記帳區!$D:$D,$D48)</f>
        <v>0</v>
      </c>
      <c r="M48" s="89">
        <f>SUMIFS(記帳區!$F:$F,記帳區!$K:$K,"&gt;=" &amp; EOMONTH(M$2,-1) + 1,記帳區!$K:$K,"&lt;=" &amp; EOMONTH(M$2, 0),記帳區!$D:$D,$D48)</f>
        <v>0</v>
      </c>
      <c r="N48" s="89">
        <f>SUMIFS(記帳區!$F:$F,記帳區!$K:$K,"&gt;=" &amp; EOMONTH(N$2,-1) + 1,記帳區!$K:$K,"&lt;=" &amp; EOMONTH(N$2, 0),記帳區!$D:$D,$D48)</f>
        <v>0</v>
      </c>
      <c r="O48" s="89">
        <f>SUMIFS(記帳區!$F:$F,記帳區!$K:$K,"&gt;=" &amp; EOMONTH(O$2,-1) + 1,記帳區!$K:$K,"&lt;=" &amp; EOMONTH(O$2, 0),記帳區!$D:$D,$D48)</f>
        <v>0</v>
      </c>
      <c r="P48" s="89">
        <f>SUMIFS(記帳區!$F:$F,記帳區!$K:$K,"&gt;=" &amp; EOMONTH(P$2,-1) + 1,記帳區!$K:$K,"&lt;=" &amp; EOMONTH(P$2, 0),記帳區!$D:$D,$D48)</f>
        <v>0</v>
      </c>
      <c r="Q48" s="89">
        <f>SUMIFS(記帳區!$F:$F,記帳區!$K:$K,"&gt;=" &amp; EOMONTH(Q$2,-1) + 1,記帳區!$K:$K,"&lt;=" &amp; EOMONTH(Q$2, 0),記帳區!$D:$D,$D48)</f>
        <v>0</v>
      </c>
      <c r="R48" s="89">
        <f>SUMIFS(記帳區!$F:$F,記帳區!$K:$K,"&gt;=" &amp; EOMONTH(R$2,-1) + 1,記帳區!$K:$K,"&lt;=" &amp; EOMONTH(R$2, 0),記帳區!$D:$D,$D48)</f>
        <v>0</v>
      </c>
      <c r="S48" s="89">
        <f>SUMIFS(記帳區!$F:$F,記帳區!$K:$K,"&gt;=" &amp; EOMONTH(S$2,-1) + 1,記帳區!$K:$K,"&lt;=" &amp; EOMONTH(S$2, 0),記帳區!$D:$D,$D48)</f>
        <v>0</v>
      </c>
    </row>
    <row r="49" spans="2:19" ht="15.6" customHeight="1" outlineLevel="1">
      <c r="B49" s="298"/>
      <c r="C49" s="325"/>
      <c r="D49" s="99" t="s">
        <v>447</v>
      </c>
      <c r="E49" s="98"/>
      <c r="G49" s="81">
        <f>SUMIFS(記帳區!$F:$F,記帳區!$K:$K,"&gt;=" &amp; EOMONTH(G$2,-1) + 1,記帳區!$K:$K,"&lt;=" &amp; EOMONTH(G$2, 0),記帳區!$E:$E,$D49)</f>
        <v>-77669</v>
      </c>
      <c r="H49" s="81">
        <f>SUMIFS(記帳區!$F:$F,記帳區!$K:$K,"&gt;=" &amp; EOMONTH(H$2,-1) + 1,記帳區!$K:$K,"&lt;=" &amp; EOMONTH(H$2, 0),記帳區!$E:$E,$D49)</f>
        <v>-77669</v>
      </c>
      <c r="I49" s="81">
        <f>SUMIFS(記帳區!$F:$F,記帳區!$K:$K,"&gt;=" &amp; EOMONTH(I$2,-1) + 1,記帳區!$K:$K,"&lt;=" &amp; EOMONTH(I$2, 0),記帳區!$E:$E,$D49)</f>
        <v>0</v>
      </c>
      <c r="J49" s="81">
        <f>SUMIFS(記帳區!$F:$F,記帳區!$K:$K,"&gt;=" &amp; EOMONTH(J$2,-1) + 1,記帳區!$K:$K,"&lt;=" &amp; EOMONTH(J$2, 0),記帳區!$E:$E,$D49)</f>
        <v>0</v>
      </c>
      <c r="K49" s="81">
        <f>SUMIFS(記帳區!$F:$F,記帳區!$K:$K,"&gt;=" &amp; EOMONTH(K$2,-1) + 1,記帳區!$K:$K,"&lt;=" &amp; EOMONTH(K$2, 0),記帳區!$E:$E,$D49)</f>
        <v>0</v>
      </c>
      <c r="L49" s="81">
        <f>SUMIFS(記帳區!$F:$F,記帳區!$K:$K,"&gt;=" &amp; EOMONTH(L$2,-1) + 1,記帳區!$K:$K,"&lt;=" &amp; EOMONTH(L$2, 0),記帳區!$E:$E,$D49)</f>
        <v>0</v>
      </c>
      <c r="M49" s="81">
        <f>SUMIFS(記帳區!$F:$F,記帳區!$K:$K,"&gt;=" &amp; EOMONTH(M$2,-1) + 1,記帳區!$K:$K,"&lt;=" &amp; EOMONTH(M$2, 0),記帳區!$E:$E,$D49)</f>
        <v>0</v>
      </c>
      <c r="N49" s="81">
        <f>SUMIFS(記帳區!$F:$F,記帳區!$K:$K,"&gt;=" &amp; EOMONTH(N$2,-1) + 1,記帳區!$K:$K,"&lt;=" &amp; EOMONTH(N$2, 0),記帳區!$E:$E,$D49)</f>
        <v>0</v>
      </c>
      <c r="O49" s="81">
        <f>SUMIFS(記帳區!$F:$F,記帳區!$K:$K,"&gt;=" &amp; EOMONTH(O$2,-1) + 1,記帳區!$K:$K,"&lt;=" &amp; EOMONTH(O$2, 0),記帳區!$E:$E,$D49)</f>
        <v>0</v>
      </c>
      <c r="P49" s="81">
        <f>SUMIFS(記帳區!$F:$F,記帳區!$K:$K,"&gt;=" &amp; EOMONTH(P$2,-1) + 1,記帳區!$K:$K,"&lt;=" &amp; EOMONTH(P$2, 0),記帳區!$E:$E,$D49)</f>
        <v>0</v>
      </c>
      <c r="Q49" s="81">
        <f>SUMIFS(記帳區!$F:$F,記帳區!$K:$K,"&gt;=" &amp; EOMONTH(Q$2,-1) + 1,記帳區!$K:$K,"&lt;=" &amp; EOMONTH(Q$2, 0),記帳區!$E:$E,$D49)</f>
        <v>0</v>
      </c>
      <c r="R49" s="81">
        <f>SUMIFS(記帳區!$F:$F,記帳區!$K:$K,"&gt;=" &amp; EOMONTH(R$2,-1) + 1,記帳區!$K:$K,"&lt;=" &amp; EOMONTH(R$2, 0),記帳區!$E:$E,$D49)</f>
        <v>0</v>
      </c>
      <c r="S49" s="81">
        <f>SUMIFS(記帳區!$F:$F,記帳區!$K:$K,"&gt;=" &amp; EOMONTH(S$2,-1) + 1,記帳區!$K:$K,"&lt;=" &amp; EOMONTH(S$2, 0),記帳區!$E:$E,$D49)</f>
        <v>0</v>
      </c>
    </row>
    <row r="50" spans="2:19" ht="15.6" customHeight="1" outlineLevel="1">
      <c r="B50" s="298"/>
      <c r="C50" s="325"/>
      <c r="D50" s="99" t="s">
        <v>76</v>
      </c>
      <c r="E50" s="98"/>
      <c r="G50" s="81">
        <f>SUMIFS(記帳區!$F:$F,記帳區!$K:$K,"&gt;=" &amp; EOMONTH(G$2,-1) + 1,記帳區!$K:$K,"&lt;=" &amp; EOMONTH(G$2, 0),記帳區!$E:$E,$D50)</f>
        <v>-9000</v>
      </c>
      <c r="H50" s="81">
        <f>SUMIFS(記帳區!$F:$F,記帳區!$K:$K,"&gt;=" &amp; EOMONTH(H$2,-1) + 1,記帳區!$K:$K,"&lt;=" &amp; EOMONTH(H$2, 0),記帳區!$E:$E,$D50)</f>
        <v>-9000</v>
      </c>
      <c r="I50" s="81">
        <f>SUMIFS(記帳區!$F:$F,記帳區!$K:$K,"&gt;=" &amp; EOMONTH(I$2,-1) + 1,記帳區!$K:$K,"&lt;=" &amp; EOMONTH(I$2, 0),記帳區!$E:$E,$D50)</f>
        <v>0</v>
      </c>
      <c r="J50" s="81">
        <f>SUMIFS(記帳區!$F:$F,記帳區!$K:$K,"&gt;=" &amp; EOMONTH(J$2,-1) + 1,記帳區!$K:$K,"&lt;=" &amp; EOMONTH(J$2, 0),記帳區!$E:$E,$D50)</f>
        <v>0</v>
      </c>
      <c r="K50" s="81">
        <f>SUMIFS(記帳區!$F:$F,記帳區!$K:$K,"&gt;=" &amp; EOMONTH(K$2,-1) + 1,記帳區!$K:$K,"&lt;=" &amp; EOMONTH(K$2, 0),記帳區!$E:$E,$D50)</f>
        <v>0</v>
      </c>
      <c r="L50" s="81">
        <f>SUMIFS(記帳區!$F:$F,記帳區!$K:$K,"&gt;=" &amp; EOMONTH(L$2,-1) + 1,記帳區!$K:$K,"&lt;=" &amp; EOMONTH(L$2, 0),記帳區!$E:$E,$D50)</f>
        <v>0</v>
      </c>
      <c r="M50" s="81">
        <f>SUMIFS(記帳區!$F:$F,記帳區!$K:$K,"&gt;=" &amp; EOMONTH(M$2,-1) + 1,記帳區!$K:$K,"&lt;=" &amp; EOMONTH(M$2, 0),記帳區!$E:$E,$D50)</f>
        <v>0</v>
      </c>
      <c r="N50" s="81">
        <f>SUMIFS(記帳區!$F:$F,記帳區!$K:$K,"&gt;=" &amp; EOMONTH(N$2,-1) + 1,記帳區!$K:$K,"&lt;=" &amp; EOMONTH(N$2, 0),記帳區!$E:$E,$D50)</f>
        <v>0</v>
      </c>
      <c r="O50" s="81">
        <f>SUMIFS(記帳區!$F:$F,記帳區!$K:$K,"&gt;=" &amp; EOMONTH(O$2,-1) + 1,記帳區!$K:$K,"&lt;=" &amp; EOMONTH(O$2, 0),記帳區!$E:$E,$D50)</f>
        <v>0</v>
      </c>
      <c r="P50" s="81">
        <f>SUMIFS(記帳區!$F:$F,記帳區!$K:$K,"&gt;=" &amp; EOMONTH(P$2,-1) + 1,記帳區!$K:$K,"&lt;=" &amp; EOMONTH(P$2, 0),記帳區!$E:$E,$D50)</f>
        <v>0</v>
      </c>
      <c r="Q50" s="81">
        <f>SUMIFS(記帳區!$F:$F,記帳區!$K:$K,"&gt;=" &amp; EOMONTH(Q$2,-1) + 1,記帳區!$K:$K,"&lt;=" &amp; EOMONTH(Q$2, 0),記帳區!$E:$E,$D50)</f>
        <v>0</v>
      </c>
      <c r="R50" s="81">
        <f>SUMIFS(記帳區!$F:$F,記帳區!$K:$K,"&gt;=" &amp; EOMONTH(R$2,-1) + 1,記帳區!$K:$K,"&lt;=" &amp; EOMONTH(R$2, 0),記帳區!$E:$E,$D50)</f>
        <v>0</v>
      </c>
      <c r="S50" s="81">
        <f>SUMIFS(記帳區!$F:$F,記帳區!$K:$K,"&gt;=" &amp; EOMONTH(S$2,-1) + 1,記帳區!$K:$K,"&lt;=" &amp; EOMONTH(S$2, 0),記帳區!$E:$E,$D50)</f>
        <v>0</v>
      </c>
    </row>
    <row r="51" spans="2:19" ht="15.6" customHeight="1" outlineLevel="1">
      <c r="B51" s="298"/>
      <c r="C51" s="325"/>
      <c r="D51" s="99" t="s">
        <v>448</v>
      </c>
      <c r="E51" s="98"/>
      <c r="G51" s="81">
        <f>SUMIFS(記帳區!$F:$F,記帳區!$K:$K,"&gt;=" &amp; EOMONTH(G$2,-1) + 1,記帳區!$K:$K,"&lt;=" &amp; EOMONTH(G$2, 0),記帳區!$E:$E,$D51)</f>
        <v>0</v>
      </c>
      <c r="H51" s="81">
        <f>SUMIFS(記帳區!$F:$F,記帳區!$K:$K,"&gt;=" &amp; EOMONTH(H$2,-1) + 1,記帳區!$K:$K,"&lt;=" &amp; EOMONTH(H$2, 0),記帳區!$E:$E,$D51)</f>
        <v>0</v>
      </c>
      <c r="I51" s="81">
        <f>SUMIFS(記帳區!$F:$F,記帳區!$K:$K,"&gt;=" &amp; EOMONTH(I$2,-1) + 1,記帳區!$K:$K,"&lt;=" &amp; EOMONTH(I$2, 0),記帳區!$E:$E,$D51)</f>
        <v>0</v>
      </c>
      <c r="J51" s="81">
        <f>SUMIFS(記帳區!$F:$F,記帳區!$K:$K,"&gt;=" &amp; EOMONTH(J$2,-1) + 1,記帳區!$K:$K,"&lt;=" &amp; EOMONTH(J$2, 0),記帳區!$E:$E,$D51)</f>
        <v>0</v>
      </c>
      <c r="K51" s="81">
        <f>SUMIFS(記帳區!$F:$F,記帳區!$K:$K,"&gt;=" &amp; EOMONTH(K$2,-1) + 1,記帳區!$K:$K,"&lt;=" &amp; EOMONTH(K$2, 0),記帳區!$E:$E,$D51)</f>
        <v>0</v>
      </c>
      <c r="L51" s="81">
        <f>SUMIFS(記帳區!$F:$F,記帳區!$K:$K,"&gt;=" &amp; EOMONTH(L$2,-1) + 1,記帳區!$K:$K,"&lt;=" &amp; EOMONTH(L$2, 0),記帳區!$E:$E,$D51)</f>
        <v>0</v>
      </c>
      <c r="M51" s="81">
        <f>SUMIFS(記帳區!$F:$F,記帳區!$K:$K,"&gt;=" &amp; EOMONTH(M$2,-1) + 1,記帳區!$K:$K,"&lt;=" &amp; EOMONTH(M$2, 0),記帳區!$E:$E,$D51)</f>
        <v>0</v>
      </c>
      <c r="N51" s="81">
        <f>SUMIFS(記帳區!$F:$F,記帳區!$K:$K,"&gt;=" &amp; EOMONTH(N$2,-1) + 1,記帳區!$K:$K,"&lt;=" &amp; EOMONTH(N$2, 0),記帳區!$E:$E,$D51)</f>
        <v>0</v>
      </c>
      <c r="O51" s="81">
        <f>SUMIFS(記帳區!$F:$F,記帳區!$K:$K,"&gt;=" &amp; EOMONTH(O$2,-1) + 1,記帳區!$K:$K,"&lt;=" &amp; EOMONTH(O$2, 0),記帳區!$E:$E,$D51)</f>
        <v>0</v>
      </c>
      <c r="P51" s="81">
        <f>SUMIFS(記帳區!$F:$F,記帳區!$K:$K,"&gt;=" &amp; EOMONTH(P$2,-1) + 1,記帳區!$K:$K,"&lt;=" &amp; EOMONTH(P$2, 0),記帳區!$E:$E,$D51)</f>
        <v>0</v>
      </c>
      <c r="Q51" s="81">
        <f>SUMIFS(記帳區!$F:$F,記帳區!$K:$K,"&gt;=" &amp; EOMONTH(Q$2,-1) + 1,記帳區!$K:$K,"&lt;=" &amp; EOMONTH(Q$2, 0),記帳區!$E:$E,$D51)</f>
        <v>0</v>
      </c>
      <c r="R51" s="81">
        <f>SUMIFS(記帳區!$F:$F,記帳區!$K:$K,"&gt;=" &amp; EOMONTH(R$2,-1) + 1,記帳區!$K:$K,"&lt;=" &amp; EOMONTH(R$2, 0),記帳區!$E:$E,$D51)</f>
        <v>0</v>
      </c>
      <c r="S51" s="81">
        <f>SUMIFS(記帳區!$F:$F,記帳區!$K:$K,"&gt;=" &amp; EOMONTH(S$2,-1) + 1,記帳區!$K:$K,"&lt;=" &amp; EOMONTH(S$2, 0),記帳區!$E:$E,$D51)</f>
        <v>0</v>
      </c>
    </row>
    <row r="52" spans="2:19" ht="34.5" customHeight="1">
      <c r="B52" s="298"/>
      <c r="C52" s="300" t="s">
        <v>411</v>
      </c>
      <c r="D52" s="97" t="s">
        <v>412</v>
      </c>
      <c r="E52" s="98"/>
      <c r="G52" s="89">
        <f>SUMIFS(記帳區!$F:$F,記帳區!$K:$K,"&gt;=" &amp; EOMONTH(G$2,-1) + 1,記帳區!$K:$K,"&lt;=" &amp; EOMONTH(G$2, 0),記帳區!$D:$D,$D52)</f>
        <v>0</v>
      </c>
      <c r="H52" s="89">
        <f>SUMIFS(記帳區!$F:$F,記帳區!$K:$K,"&gt;=" &amp; EOMONTH(H$2,-1) + 1,記帳區!$K:$K,"&lt;=" &amp; EOMONTH(H$2, 0),記帳區!$D:$D,$D52)</f>
        <v>0</v>
      </c>
      <c r="I52" s="89">
        <f>SUMIFS(記帳區!$F:$F,記帳區!$K:$K,"&gt;=" &amp; EOMONTH(I$2,-1) + 1,記帳區!$K:$K,"&lt;=" &amp; EOMONTH(I$2, 0),記帳區!$D:$D,$D52)</f>
        <v>0</v>
      </c>
      <c r="J52" s="89">
        <f>SUMIFS(記帳區!$F:$F,記帳區!$K:$K,"&gt;=" &amp; EOMONTH(J$2,-1) + 1,記帳區!$K:$K,"&lt;=" &amp; EOMONTH(J$2, 0),記帳區!$D:$D,$D52)</f>
        <v>0</v>
      </c>
      <c r="K52" s="89">
        <f>SUMIFS(記帳區!$F:$F,記帳區!$K:$K,"&gt;=" &amp; EOMONTH(K$2,-1) + 1,記帳區!$K:$K,"&lt;=" &amp; EOMONTH(K$2, 0),記帳區!$D:$D,$D52)</f>
        <v>0</v>
      </c>
      <c r="L52" s="89">
        <f>SUMIFS(記帳區!$F:$F,記帳區!$K:$K,"&gt;=" &amp; EOMONTH(L$2,-1) + 1,記帳區!$K:$K,"&lt;=" &amp; EOMONTH(L$2, 0),記帳區!$D:$D,$D52)</f>
        <v>0</v>
      </c>
      <c r="M52" s="89">
        <f>SUMIFS(記帳區!$F:$F,記帳區!$K:$K,"&gt;=" &amp; EOMONTH(M$2,-1) + 1,記帳區!$K:$K,"&lt;=" &amp; EOMONTH(M$2, 0),記帳區!$D:$D,$D52)</f>
        <v>0</v>
      </c>
      <c r="N52" s="89">
        <f>SUMIFS(記帳區!$F:$F,記帳區!$K:$K,"&gt;=" &amp; EOMONTH(N$2,-1) + 1,記帳區!$K:$K,"&lt;=" &amp; EOMONTH(N$2, 0),記帳區!$D:$D,$D52)</f>
        <v>0</v>
      </c>
      <c r="O52" s="89">
        <f>SUMIFS(記帳區!$F:$F,記帳區!$K:$K,"&gt;=" &amp; EOMONTH(O$2,-1) + 1,記帳區!$K:$K,"&lt;=" &amp; EOMONTH(O$2, 0),記帳區!$D:$D,$D52)</f>
        <v>0</v>
      </c>
      <c r="P52" s="89">
        <f>SUMIFS(記帳區!$F:$F,記帳區!$K:$K,"&gt;=" &amp; EOMONTH(P$2,-1) + 1,記帳區!$K:$K,"&lt;=" &amp; EOMONTH(P$2, 0),記帳區!$D:$D,$D52)</f>
        <v>0</v>
      </c>
      <c r="Q52" s="89">
        <f>SUMIFS(記帳區!$F:$F,記帳區!$K:$K,"&gt;=" &amp; EOMONTH(Q$2,-1) + 1,記帳區!$K:$K,"&lt;=" &amp; EOMONTH(Q$2, 0),記帳區!$D:$D,$D52)</f>
        <v>0</v>
      </c>
      <c r="R52" s="89">
        <f>SUMIFS(記帳區!$F:$F,記帳區!$K:$K,"&gt;=" &amp; EOMONTH(R$2,-1) + 1,記帳區!$K:$K,"&lt;=" &amp; EOMONTH(R$2, 0),記帳區!$D:$D,$D52)</f>
        <v>0</v>
      </c>
      <c r="S52" s="89">
        <f>SUMIFS(記帳區!$F:$F,記帳區!$K:$K,"&gt;=" &amp; EOMONTH(S$2,-1) + 1,記帳區!$K:$K,"&lt;=" &amp; EOMONTH(S$2, 0),記帳區!$D:$D,$D52)</f>
        <v>0</v>
      </c>
    </row>
    <row r="53" spans="2:19" ht="15.6" customHeight="1" outlineLevel="1">
      <c r="B53" s="298"/>
      <c r="C53" s="300"/>
      <c r="D53" s="99" t="s">
        <v>449</v>
      </c>
      <c r="E53" s="98"/>
      <c r="G53" s="81">
        <f>SUMIFS(記帳區!$F:$F,記帳區!$K:$K,"&gt;=" &amp; EOMONTH(G$2,-1) + 1,記帳區!$K:$K,"&lt;=" &amp; EOMONTH(G$2, 0),記帳區!$E:$E,$D53)</f>
        <v>0</v>
      </c>
      <c r="H53" s="81">
        <f>SUMIFS(記帳區!$F:$F,記帳區!$K:$K,"&gt;=" &amp; EOMONTH(H$2,-1) + 1,記帳區!$K:$K,"&lt;=" &amp; EOMONTH(H$2, 0),記帳區!$E:$E,$D53)</f>
        <v>0</v>
      </c>
      <c r="I53" s="81">
        <f>SUMIFS(記帳區!$F:$F,記帳區!$K:$K,"&gt;=" &amp; EOMONTH(I$2,-1) + 1,記帳區!$K:$K,"&lt;=" &amp; EOMONTH(I$2, 0),記帳區!$E:$E,$D53)</f>
        <v>0</v>
      </c>
      <c r="J53" s="81">
        <f>SUMIFS(記帳區!$F:$F,記帳區!$K:$K,"&gt;=" &amp; EOMONTH(J$2,-1) + 1,記帳區!$K:$K,"&lt;=" &amp; EOMONTH(J$2, 0),記帳區!$E:$E,$D53)</f>
        <v>0</v>
      </c>
      <c r="K53" s="81">
        <f>SUMIFS(記帳區!$F:$F,記帳區!$K:$K,"&gt;=" &amp; EOMONTH(K$2,-1) + 1,記帳區!$K:$K,"&lt;=" &amp; EOMONTH(K$2, 0),記帳區!$E:$E,$D53)</f>
        <v>0</v>
      </c>
      <c r="L53" s="81">
        <f>SUMIFS(記帳區!$F:$F,記帳區!$K:$K,"&gt;=" &amp; EOMONTH(L$2,-1) + 1,記帳區!$K:$K,"&lt;=" &amp; EOMONTH(L$2, 0),記帳區!$E:$E,$D53)</f>
        <v>0</v>
      </c>
      <c r="M53" s="81">
        <f>SUMIFS(記帳區!$F:$F,記帳區!$K:$K,"&gt;=" &amp; EOMONTH(M$2,-1) + 1,記帳區!$K:$K,"&lt;=" &amp; EOMONTH(M$2, 0),記帳區!$E:$E,$D53)</f>
        <v>0</v>
      </c>
      <c r="N53" s="81">
        <f>SUMIFS(記帳區!$F:$F,記帳區!$K:$K,"&gt;=" &amp; EOMONTH(N$2,-1) + 1,記帳區!$K:$K,"&lt;=" &amp; EOMONTH(N$2, 0),記帳區!$E:$E,$D53)</f>
        <v>0</v>
      </c>
      <c r="O53" s="81">
        <f>SUMIFS(記帳區!$F:$F,記帳區!$K:$K,"&gt;=" &amp; EOMONTH(O$2,-1) + 1,記帳區!$K:$K,"&lt;=" &amp; EOMONTH(O$2, 0),記帳區!$E:$E,$D53)</f>
        <v>0</v>
      </c>
      <c r="P53" s="81">
        <f>SUMIFS(記帳區!$F:$F,記帳區!$K:$K,"&gt;=" &amp; EOMONTH(P$2,-1) + 1,記帳區!$K:$K,"&lt;=" &amp; EOMONTH(P$2, 0),記帳區!$E:$E,$D53)</f>
        <v>0</v>
      </c>
      <c r="Q53" s="81">
        <f>SUMIFS(記帳區!$F:$F,記帳區!$K:$K,"&gt;=" &amp; EOMONTH(Q$2,-1) + 1,記帳區!$K:$K,"&lt;=" &amp; EOMONTH(Q$2, 0),記帳區!$E:$E,$D53)</f>
        <v>0</v>
      </c>
      <c r="R53" s="81">
        <f>SUMIFS(記帳區!$F:$F,記帳區!$K:$K,"&gt;=" &amp; EOMONTH(R$2,-1) + 1,記帳區!$K:$K,"&lt;=" &amp; EOMONTH(R$2, 0),記帳區!$E:$E,$D53)</f>
        <v>0</v>
      </c>
      <c r="S53" s="81">
        <f>SUMIFS(記帳區!$F:$F,記帳區!$K:$K,"&gt;=" &amp; EOMONTH(S$2,-1) + 1,記帳區!$K:$K,"&lt;=" &amp; EOMONTH(S$2, 0),記帳區!$E:$E,$D53)</f>
        <v>0</v>
      </c>
    </row>
    <row r="54" spans="2:19" ht="15.6" customHeight="1" outlineLevel="1">
      <c r="B54" s="298"/>
      <c r="C54" s="300"/>
      <c r="D54" s="99" t="s">
        <v>450</v>
      </c>
      <c r="E54" s="98"/>
      <c r="G54" s="81">
        <f>SUMIFS(記帳區!$F:$F,記帳區!$K:$K,"&gt;=" &amp; EOMONTH(G$2,-1) + 1,記帳區!$K:$K,"&lt;=" &amp; EOMONTH(G$2, 0),記帳區!$E:$E,$D54)</f>
        <v>0</v>
      </c>
      <c r="H54" s="81">
        <f>SUMIFS(記帳區!$F:$F,記帳區!$K:$K,"&gt;=" &amp; EOMONTH(H$2,-1) + 1,記帳區!$K:$K,"&lt;=" &amp; EOMONTH(H$2, 0),記帳區!$E:$E,$D54)</f>
        <v>0</v>
      </c>
      <c r="I54" s="81">
        <f>SUMIFS(記帳區!$F:$F,記帳區!$K:$K,"&gt;=" &amp; EOMONTH(I$2,-1) + 1,記帳區!$K:$K,"&lt;=" &amp; EOMONTH(I$2, 0),記帳區!$E:$E,$D54)</f>
        <v>0</v>
      </c>
      <c r="J54" s="81">
        <f>SUMIFS(記帳區!$F:$F,記帳區!$K:$K,"&gt;=" &amp; EOMONTH(J$2,-1) + 1,記帳區!$K:$K,"&lt;=" &amp; EOMONTH(J$2, 0),記帳區!$E:$E,$D54)</f>
        <v>0</v>
      </c>
      <c r="K54" s="81">
        <f>SUMIFS(記帳區!$F:$F,記帳區!$K:$K,"&gt;=" &amp; EOMONTH(K$2,-1) + 1,記帳區!$K:$K,"&lt;=" &amp; EOMONTH(K$2, 0),記帳區!$E:$E,$D54)</f>
        <v>0</v>
      </c>
      <c r="L54" s="81">
        <f>SUMIFS(記帳區!$F:$F,記帳區!$K:$K,"&gt;=" &amp; EOMONTH(L$2,-1) + 1,記帳區!$K:$K,"&lt;=" &amp; EOMONTH(L$2, 0),記帳區!$E:$E,$D54)</f>
        <v>0</v>
      </c>
      <c r="M54" s="81">
        <f>SUMIFS(記帳區!$F:$F,記帳區!$K:$K,"&gt;=" &amp; EOMONTH(M$2,-1) + 1,記帳區!$K:$K,"&lt;=" &amp; EOMONTH(M$2, 0),記帳區!$E:$E,$D54)</f>
        <v>0</v>
      </c>
      <c r="N54" s="81">
        <f>SUMIFS(記帳區!$F:$F,記帳區!$K:$K,"&gt;=" &amp; EOMONTH(N$2,-1) + 1,記帳區!$K:$K,"&lt;=" &amp; EOMONTH(N$2, 0),記帳區!$E:$E,$D54)</f>
        <v>0</v>
      </c>
      <c r="O54" s="81">
        <f>SUMIFS(記帳區!$F:$F,記帳區!$K:$K,"&gt;=" &amp; EOMONTH(O$2,-1) + 1,記帳區!$K:$K,"&lt;=" &amp; EOMONTH(O$2, 0),記帳區!$E:$E,$D54)</f>
        <v>0</v>
      </c>
      <c r="P54" s="81">
        <f>SUMIFS(記帳區!$F:$F,記帳區!$K:$K,"&gt;=" &amp; EOMONTH(P$2,-1) + 1,記帳區!$K:$K,"&lt;=" &amp; EOMONTH(P$2, 0),記帳區!$E:$E,$D54)</f>
        <v>0</v>
      </c>
      <c r="Q54" s="81">
        <f>SUMIFS(記帳區!$F:$F,記帳區!$K:$K,"&gt;=" &amp; EOMONTH(Q$2,-1) + 1,記帳區!$K:$K,"&lt;=" &amp; EOMONTH(Q$2, 0),記帳區!$E:$E,$D54)</f>
        <v>0</v>
      </c>
      <c r="R54" s="81">
        <f>SUMIFS(記帳區!$F:$F,記帳區!$K:$K,"&gt;=" &amp; EOMONTH(R$2,-1) + 1,記帳區!$K:$K,"&lt;=" &amp; EOMONTH(R$2, 0),記帳區!$E:$E,$D54)</f>
        <v>0</v>
      </c>
      <c r="S54" s="81">
        <f>SUMIFS(記帳區!$F:$F,記帳區!$K:$K,"&gt;=" &amp; EOMONTH(S$2,-1) + 1,記帳區!$K:$K,"&lt;=" &amp; EOMONTH(S$2, 0),記帳區!$E:$E,$D54)</f>
        <v>0</v>
      </c>
    </row>
    <row r="55" spans="2:19">
      <c r="B55" s="298"/>
      <c r="C55" s="300"/>
      <c r="D55" s="97" t="s">
        <v>451</v>
      </c>
      <c r="E55" s="98"/>
      <c r="G55" s="89">
        <f>SUMIFS(記帳區!$F:$F,記帳區!$K:$K,"&gt;=" &amp; EOMONTH(G$2,-1) + 1,記帳區!$K:$K,"&lt;=" &amp; EOMONTH(G$2, 0),記帳區!$D:$D,$D55)</f>
        <v>0</v>
      </c>
      <c r="H55" s="89">
        <f>SUMIFS(記帳區!$F:$F,記帳區!$K:$K,"&gt;=" &amp; EOMONTH(H$2,-1) + 1,記帳區!$K:$K,"&lt;=" &amp; EOMONTH(H$2, 0),記帳區!$D:$D,$D55)</f>
        <v>0</v>
      </c>
      <c r="I55" s="89">
        <f>SUMIFS(記帳區!$F:$F,記帳區!$K:$K,"&gt;=" &amp; EOMONTH(I$2,-1) + 1,記帳區!$K:$K,"&lt;=" &amp; EOMONTH(I$2, 0),記帳區!$D:$D,$D55)</f>
        <v>0</v>
      </c>
      <c r="J55" s="89">
        <f>SUMIFS(記帳區!$F:$F,記帳區!$K:$K,"&gt;=" &amp; EOMONTH(J$2,-1) + 1,記帳區!$K:$K,"&lt;=" &amp; EOMONTH(J$2, 0),記帳區!$D:$D,$D55)</f>
        <v>0</v>
      </c>
      <c r="K55" s="89">
        <f>SUMIFS(記帳區!$F:$F,記帳區!$K:$K,"&gt;=" &amp; EOMONTH(K$2,-1) + 1,記帳區!$K:$K,"&lt;=" &amp; EOMONTH(K$2, 0),記帳區!$D:$D,$D55)</f>
        <v>0</v>
      </c>
      <c r="L55" s="89">
        <f>SUMIFS(記帳區!$F:$F,記帳區!$K:$K,"&gt;=" &amp; EOMONTH(L$2,-1) + 1,記帳區!$K:$K,"&lt;=" &amp; EOMONTH(L$2, 0),記帳區!$D:$D,$D55)</f>
        <v>0</v>
      </c>
      <c r="M55" s="89">
        <f>SUMIFS(記帳區!$F:$F,記帳區!$K:$K,"&gt;=" &amp; EOMONTH(M$2,-1) + 1,記帳區!$K:$K,"&lt;=" &amp; EOMONTH(M$2, 0),記帳區!$D:$D,$D55)</f>
        <v>0</v>
      </c>
      <c r="N55" s="89">
        <f>SUMIFS(記帳區!$F:$F,記帳區!$K:$K,"&gt;=" &amp; EOMONTH(N$2,-1) + 1,記帳區!$K:$K,"&lt;=" &amp; EOMONTH(N$2, 0),記帳區!$D:$D,$D55)</f>
        <v>0</v>
      </c>
      <c r="O55" s="89">
        <f>SUMIFS(記帳區!$F:$F,記帳區!$K:$K,"&gt;=" &amp; EOMONTH(O$2,-1) + 1,記帳區!$K:$K,"&lt;=" &amp; EOMONTH(O$2, 0),記帳區!$D:$D,$D55)</f>
        <v>0</v>
      </c>
      <c r="P55" s="89">
        <f>SUMIFS(記帳區!$F:$F,記帳區!$K:$K,"&gt;=" &amp; EOMONTH(P$2,-1) + 1,記帳區!$K:$K,"&lt;=" &amp; EOMONTH(P$2, 0),記帳區!$D:$D,$D55)</f>
        <v>0</v>
      </c>
      <c r="Q55" s="89">
        <f>SUMIFS(記帳區!$F:$F,記帳區!$K:$K,"&gt;=" &amp; EOMONTH(Q$2,-1) + 1,記帳區!$K:$K,"&lt;=" &amp; EOMONTH(Q$2, 0),記帳區!$D:$D,$D55)</f>
        <v>0</v>
      </c>
      <c r="R55" s="89">
        <f>SUMIFS(記帳區!$F:$F,記帳區!$K:$K,"&gt;=" &amp; EOMONTH(R$2,-1) + 1,記帳區!$K:$K,"&lt;=" &amp; EOMONTH(R$2, 0),記帳區!$D:$D,$D55)</f>
        <v>0</v>
      </c>
      <c r="S55" s="89">
        <f>SUMIFS(記帳區!$F:$F,記帳區!$K:$K,"&gt;=" &amp; EOMONTH(S$2,-1) + 1,記帳區!$K:$K,"&lt;=" &amp; EOMONTH(S$2, 0),記帳區!$D:$D,$D55)</f>
        <v>0</v>
      </c>
    </row>
    <row r="56" spans="2:19" ht="15.6" customHeight="1" outlineLevel="1">
      <c r="B56" s="298"/>
      <c r="C56" s="300"/>
      <c r="D56" s="99" t="s">
        <v>193</v>
      </c>
      <c r="E56" s="98"/>
      <c r="G56" s="81">
        <f>SUMIFS(記帳區!$F:$F,記帳區!$K:$K,"&gt;=" &amp; EOMONTH(G$2,-1) + 1,記帳區!$K:$K,"&lt;=" &amp; EOMONTH(G$2, 0),記帳區!$E:$E,$D56)</f>
        <v>0</v>
      </c>
      <c r="H56" s="81">
        <f>SUMIFS(記帳區!$F:$F,記帳區!$K:$K,"&gt;=" &amp; EOMONTH(H$2,-1) + 1,記帳區!$K:$K,"&lt;=" &amp; EOMONTH(H$2, 0),記帳區!$E:$E,$D56)</f>
        <v>0</v>
      </c>
      <c r="I56" s="81">
        <f>SUMIFS(記帳區!$F:$F,記帳區!$K:$K,"&gt;=" &amp; EOMONTH(I$2,-1) + 1,記帳區!$K:$K,"&lt;=" &amp; EOMONTH(I$2, 0),記帳區!$E:$E,$D56)</f>
        <v>0</v>
      </c>
      <c r="J56" s="81">
        <f>SUMIFS(記帳區!$F:$F,記帳區!$K:$K,"&gt;=" &amp; EOMONTH(J$2,-1) + 1,記帳區!$K:$K,"&lt;=" &amp; EOMONTH(J$2, 0),記帳區!$E:$E,$D56)</f>
        <v>0</v>
      </c>
      <c r="K56" s="81">
        <f>SUMIFS(記帳區!$F:$F,記帳區!$K:$K,"&gt;=" &amp; EOMONTH(K$2,-1) + 1,記帳區!$K:$K,"&lt;=" &amp; EOMONTH(K$2, 0),記帳區!$E:$E,$D56)</f>
        <v>0</v>
      </c>
      <c r="L56" s="81">
        <f>SUMIFS(記帳區!$F:$F,記帳區!$K:$K,"&gt;=" &amp; EOMONTH(L$2,-1) + 1,記帳區!$K:$K,"&lt;=" &amp; EOMONTH(L$2, 0),記帳區!$E:$E,$D56)</f>
        <v>0</v>
      </c>
      <c r="M56" s="81">
        <f>SUMIFS(記帳區!$F:$F,記帳區!$K:$K,"&gt;=" &amp; EOMONTH(M$2,-1) + 1,記帳區!$K:$K,"&lt;=" &amp; EOMONTH(M$2, 0),記帳區!$E:$E,$D56)</f>
        <v>0</v>
      </c>
      <c r="N56" s="81">
        <f>SUMIFS(記帳區!$F:$F,記帳區!$K:$K,"&gt;=" &amp; EOMONTH(N$2,-1) + 1,記帳區!$K:$K,"&lt;=" &amp; EOMONTH(N$2, 0),記帳區!$E:$E,$D56)</f>
        <v>0</v>
      </c>
      <c r="O56" s="81">
        <f>SUMIFS(記帳區!$F:$F,記帳區!$K:$K,"&gt;=" &amp; EOMONTH(O$2,-1) + 1,記帳區!$K:$K,"&lt;=" &amp; EOMONTH(O$2, 0),記帳區!$E:$E,$D56)</f>
        <v>0</v>
      </c>
      <c r="P56" s="81">
        <f>SUMIFS(記帳區!$F:$F,記帳區!$K:$K,"&gt;=" &amp; EOMONTH(P$2,-1) + 1,記帳區!$K:$K,"&lt;=" &amp; EOMONTH(P$2, 0),記帳區!$E:$E,$D56)</f>
        <v>0</v>
      </c>
      <c r="Q56" s="81">
        <f>SUMIFS(記帳區!$F:$F,記帳區!$K:$K,"&gt;=" &amp; EOMONTH(Q$2,-1) + 1,記帳區!$K:$K,"&lt;=" &amp; EOMONTH(Q$2, 0),記帳區!$E:$E,$D56)</f>
        <v>0</v>
      </c>
      <c r="R56" s="81">
        <f>SUMIFS(記帳區!$F:$F,記帳區!$K:$K,"&gt;=" &amp; EOMONTH(R$2,-1) + 1,記帳區!$K:$K,"&lt;=" &amp; EOMONTH(R$2, 0),記帳區!$E:$E,$D56)</f>
        <v>0</v>
      </c>
      <c r="S56" s="81">
        <f>SUMIFS(記帳區!$F:$F,記帳區!$K:$K,"&gt;=" &amp; EOMONTH(S$2,-1) + 1,記帳區!$K:$K,"&lt;=" &amp; EOMONTH(S$2, 0),記帳區!$E:$E,$D56)</f>
        <v>0</v>
      </c>
    </row>
    <row r="57" spans="2:19" ht="15.6" customHeight="1" outlineLevel="1">
      <c r="B57" s="298"/>
      <c r="C57" s="300"/>
      <c r="D57" s="99" t="s">
        <v>452</v>
      </c>
      <c r="E57" s="98"/>
      <c r="G57" s="81">
        <f>SUMIFS(記帳區!$F:$F,記帳區!$K:$K,"&gt;=" &amp; EOMONTH(G$2,-1) + 1,記帳區!$K:$K,"&lt;=" &amp; EOMONTH(G$2, 0),記帳區!$E:$E,$D57)</f>
        <v>0</v>
      </c>
      <c r="H57" s="81">
        <f>SUMIFS(記帳區!$F:$F,記帳區!$K:$K,"&gt;=" &amp; EOMONTH(H$2,-1) + 1,記帳區!$K:$K,"&lt;=" &amp; EOMONTH(H$2, 0),記帳區!$E:$E,$D57)</f>
        <v>0</v>
      </c>
      <c r="I57" s="81">
        <f>SUMIFS(記帳區!$F:$F,記帳區!$K:$K,"&gt;=" &amp; EOMONTH(I$2,-1) + 1,記帳區!$K:$K,"&lt;=" &amp; EOMONTH(I$2, 0),記帳區!$E:$E,$D57)</f>
        <v>0</v>
      </c>
      <c r="J57" s="81">
        <f>SUMIFS(記帳區!$F:$F,記帳區!$K:$K,"&gt;=" &amp; EOMONTH(J$2,-1) + 1,記帳區!$K:$K,"&lt;=" &amp; EOMONTH(J$2, 0),記帳區!$E:$E,$D57)</f>
        <v>0</v>
      </c>
      <c r="K57" s="81">
        <f>SUMIFS(記帳區!$F:$F,記帳區!$K:$K,"&gt;=" &amp; EOMONTH(K$2,-1) + 1,記帳區!$K:$K,"&lt;=" &amp; EOMONTH(K$2, 0),記帳區!$E:$E,$D57)</f>
        <v>0</v>
      </c>
      <c r="L57" s="81">
        <f>SUMIFS(記帳區!$F:$F,記帳區!$K:$K,"&gt;=" &amp; EOMONTH(L$2,-1) + 1,記帳區!$K:$K,"&lt;=" &amp; EOMONTH(L$2, 0),記帳區!$E:$E,$D57)</f>
        <v>0</v>
      </c>
      <c r="M57" s="81">
        <f>SUMIFS(記帳區!$F:$F,記帳區!$K:$K,"&gt;=" &amp; EOMONTH(M$2,-1) + 1,記帳區!$K:$K,"&lt;=" &amp; EOMONTH(M$2, 0),記帳區!$E:$E,$D57)</f>
        <v>0</v>
      </c>
      <c r="N57" s="81">
        <f>SUMIFS(記帳區!$F:$F,記帳區!$K:$K,"&gt;=" &amp; EOMONTH(N$2,-1) + 1,記帳區!$K:$K,"&lt;=" &amp; EOMONTH(N$2, 0),記帳區!$E:$E,$D57)</f>
        <v>0</v>
      </c>
      <c r="O57" s="81">
        <f>SUMIFS(記帳區!$F:$F,記帳區!$K:$K,"&gt;=" &amp; EOMONTH(O$2,-1) + 1,記帳區!$K:$K,"&lt;=" &amp; EOMONTH(O$2, 0),記帳區!$E:$E,$D57)</f>
        <v>0</v>
      </c>
      <c r="P57" s="81">
        <f>SUMIFS(記帳區!$F:$F,記帳區!$K:$K,"&gt;=" &amp; EOMONTH(P$2,-1) + 1,記帳區!$K:$K,"&lt;=" &amp; EOMONTH(P$2, 0),記帳區!$E:$E,$D57)</f>
        <v>0</v>
      </c>
      <c r="Q57" s="81">
        <f>SUMIFS(記帳區!$F:$F,記帳區!$K:$K,"&gt;=" &amp; EOMONTH(Q$2,-1) + 1,記帳區!$K:$K,"&lt;=" &amp; EOMONTH(Q$2, 0),記帳區!$E:$E,$D57)</f>
        <v>0</v>
      </c>
      <c r="R57" s="81">
        <f>SUMIFS(記帳區!$F:$F,記帳區!$K:$K,"&gt;=" &amp; EOMONTH(R$2,-1) + 1,記帳區!$K:$K,"&lt;=" &amp; EOMONTH(R$2, 0),記帳區!$E:$E,$D57)</f>
        <v>0</v>
      </c>
      <c r="S57" s="81">
        <f>SUMIFS(記帳區!$F:$F,記帳區!$K:$K,"&gt;=" &amp; EOMONTH(S$2,-1) + 1,記帳區!$K:$K,"&lt;=" &amp; EOMONTH(S$2, 0),記帳區!$E:$E,$D57)</f>
        <v>0</v>
      </c>
    </row>
    <row r="58" spans="2:19">
      <c r="B58" s="298"/>
      <c r="C58" s="300"/>
      <c r="D58" s="97" t="s">
        <v>420</v>
      </c>
      <c r="E58" s="98"/>
      <c r="G58" s="89">
        <f>SUMIFS(記帳區!$F:$F,記帳區!$K:$K,"&gt;=" &amp; EOMONTH(G$2,-1) + 1,記帳區!$K:$K,"&lt;=" &amp; EOMONTH(G$2, 0),記帳區!$D:$D,$D58)</f>
        <v>0</v>
      </c>
      <c r="H58" s="89">
        <f>SUMIFS(記帳區!$F:$F,記帳區!$K:$K,"&gt;=" &amp; EOMONTH(H$2,-1) + 1,記帳區!$K:$K,"&lt;=" &amp; EOMONTH(H$2, 0),記帳區!$D:$D,$D58)</f>
        <v>0</v>
      </c>
      <c r="I58" s="89">
        <f>SUMIFS(記帳區!$F:$F,記帳區!$K:$K,"&gt;=" &amp; EOMONTH(I$2,-1) + 1,記帳區!$K:$K,"&lt;=" &amp; EOMONTH(I$2, 0),記帳區!$D:$D,$D58)</f>
        <v>0</v>
      </c>
      <c r="J58" s="89">
        <f>SUMIFS(記帳區!$F:$F,記帳區!$K:$K,"&gt;=" &amp; EOMONTH(J$2,-1) + 1,記帳區!$K:$K,"&lt;=" &amp; EOMONTH(J$2, 0),記帳區!$D:$D,$D58)</f>
        <v>0</v>
      </c>
      <c r="K58" s="89">
        <f>SUMIFS(記帳區!$F:$F,記帳區!$K:$K,"&gt;=" &amp; EOMONTH(K$2,-1) + 1,記帳區!$K:$K,"&lt;=" &amp; EOMONTH(K$2, 0),記帳區!$D:$D,$D58)</f>
        <v>0</v>
      </c>
      <c r="L58" s="89">
        <f>SUMIFS(記帳區!$F:$F,記帳區!$K:$K,"&gt;=" &amp; EOMONTH(L$2,-1) + 1,記帳區!$K:$K,"&lt;=" &amp; EOMONTH(L$2, 0),記帳區!$D:$D,$D58)</f>
        <v>0</v>
      </c>
      <c r="M58" s="89">
        <f>SUMIFS(記帳區!$F:$F,記帳區!$K:$K,"&gt;=" &amp; EOMONTH(M$2,-1) + 1,記帳區!$K:$K,"&lt;=" &amp; EOMONTH(M$2, 0),記帳區!$D:$D,$D58)</f>
        <v>0</v>
      </c>
      <c r="N58" s="89">
        <f>SUMIFS(記帳區!$F:$F,記帳區!$K:$K,"&gt;=" &amp; EOMONTH(N$2,-1) + 1,記帳區!$K:$K,"&lt;=" &amp; EOMONTH(N$2, 0),記帳區!$D:$D,$D58)</f>
        <v>0</v>
      </c>
      <c r="O58" s="89">
        <f>SUMIFS(記帳區!$F:$F,記帳區!$K:$K,"&gt;=" &amp; EOMONTH(O$2,-1) + 1,記帳區!$K:$K,"&lt;=" &amp; EOMONTH(O$2, 0),記帳區!$D:$D,$D58)</f>
        <v>0</v>
      </c>
      <c r="P58" s="89">
        <f>SUMIFS(記帳區!$F:$F,記帳區!$K:$K,"&gt;=" &amp; EOMONTH(P$2,-1) + 1,記帳區!$K:$K,"&lt;=" &amp; EOMONTH(P$2, 0),記帳區!$D:$D,$D58)</f>
        <v>0</v>
      </c>
      <c r="Q58" s="89">
        <f>SUMIFS(記帳區!$F:$F,記帳區!$K:$K,"&gt;=" &amp; EOMONTH(Q$2,-1) + 1,記帳區!$K:$K,"&lt;=" &amp; EOMONTH(Q$2, 0),記帳區!$D:$D,$D58)</f>
        <v>0</v>
      </c>
      <c r="R58" s="89">
        <f>SUMIFS(記帳區!$F:$F,記帳區!$K:$K,"&gt;=" &amp; EOMONTH(R$2,-1) + 1,記帳區!$K:$K,"&lt;=" &amp; EOMONTH(R$2, 0),記帳區!$D:$D,$D58)</f>
        <v>0</v>
      </c>
      <c r="S58" s="89">
        <f>SUMIFS(記帳區!$F:$F,記帳區!$K:$K,"&gt;=" &amp; EOMONTH(S$2,-1) + 1,記帳區!$K:$K,"&lt;=" &amp; EOMONTH(S$2, 0),記帳區!$D:$D,$D58)</f>
        <v>0</v>
      </c>
    </row>
    <row r="59" spans="2:19" ht="15.6" customHeight="1" outlineLevel="1">
      <c r="B59" s="298"/>
      <c r="C59" s="300"/>
      <c r="D59" s="99" t="s">
        <v>421</v>
      </c>
      <c r="E59" s="98"/>
      <c r="G59" s="81">
        <f>SUMIFS(記帳區!$F:$F,記帳區!$K:$K,"&gt;=" &amp; EOMONTH(G$2,-1) + 1,記帳區!$K:$K,"&lt;=" &amp; EOMONTH(G$2, 0),記帳區!$E:$E,$D59)</f>
        <v>0</v>
      </c>
      <c r="H59" s="81">
        <f>SUMIFS(記帳區!$F:$F,記帳區!$K:$K,"&gt;=" &amp; EOMONTH(H$2,-1) + 1,記帳區!$K:$K,"&lt;=" &amp; EOMONTH(H$2, 0),記帳區!$E:$E,$D59)</f>
        <v>0</v>
      </c>
      <c r="I59" s="81">
        <f>SUMIFS(記帳區!$F:$F,記帳區!$K:$K,"&gt;=" &amp; EOMONTH(I$2,-1) + 1,記帳區!$K:$K,"&lt;=" &amp; EOMONTH(I$2, 0),記帳區!$E:$E,$D59)</f>
        <v>0</v>
      </c>
      <c r="J59" s="81">
        <f>SUMIFS(記帳區!$F:$F,記帳區!$K:$K,"&gt;=" &amp; EOMONTH(J$2,-1) + 1,記帳區!$K:$K,"&lt;=" &amp; EOMONTH(J$2, 0),記帳區!$E:$E,$D59)</f>
        <v>0</v>
      </c>
      <c r="K59" s="81">
        <f>SUMIFS(記帳區!$F:$F,記帳區!$K:$K,"&gt;=" &amp; EOMONTH(K$2,-1) + 1,記帳區!$K:$K,"&lt;=" &amp; EOMONTH(K$2, 0),記帳區!$E:$E,$D59)</f>
        <v>0</v>
      </c>
      <c r="L59" s="81">
        <f>SUMIFS(記帳區!$F:$F,記帳區!$K:$K,"&gt;=" &amp; EOMONTH(L$2,-1) + 1,記帳區!$K:$K,"&lt;=" &amp; EOMONTH(L$2, 0),記帳區!$E:$E,$D59)</f>
        <v>0</v>
      </c>
      <c r="M59" s="81">
        <f>SUMIFS(記帳區!$F:$F,記帳區!$K:$K,"&gt;=" &amp; EOMONTH(M$2,-1) + 1,記帳區!$K:$K,"&lt;=" &amp; EOMONTH(M$2, 0),記帳區!$E:$E,$D59)</f>
        <v>0</v>
      </c>
      <c r="N59" s="81">
        <f>SUMIFS(記帳區!$F:$F,記帳區!$K:$K,"&gt;=" &amp; EOMONTH(N$2,-1) + 1,記帳區!$K:$K,"&lt;=" &amp; EOMONTH(N$2, 0),記帳區!$E:$E,$D59)</f>
        <v>0</v>
      </c>
      <c r="O59" s="81">
        <f>SUMIFS(記帳區!$F:$F,記帳區!$K:$K,"&gt;=" &amp; EOMONTH(O$2,-1) + 1,記帳區!$K:$K,"&lt;=" &amp; EOMONTH(O$2, 0),記帳區!$E:$E,$D59)</f>
        <v>0</v>
      </c>
      <c r="P59" s="81">
        <f>SUMIFS(記帳區!$F:$F,記帳區!$K:$K,"&gt;=" &amp; EOMONTH(P$2,-1) + 1,記帳區!$K:$K,"&lt;=" &amp; EOMONTH(P$2, 0),記帳區!$E:$E,$D59)</f>
        <v>0</v>
      </c>
      <c r="Q59" s="81">
        <f>SUMIFS(記帳區!$F:$F,記帳區!$K:$K,"&gt;=" &amp; EOMONTH(Q$2,-1) + 1,記帳區!$K:$K,"&lt;=" &amp; EOMONTH(Q$2, 0),記帳區!$E:$E,$D59)</f>
        <v>0</v>
      </c>
      <c r="R59" s="81">
        <f>SUMIFS(記帳區!$F:$F,記帳區!$K:$K,"&gt;=" &amp; EOMONTH(R$2,-1) + 1,記帳區!$K:$K,"&lt;=" &amp; EOMONTH(R$2, 0),記帳區!$E:$E,$D59)</f>
        <v>0</v>
      </c>
      <c r="S59" s="81">
        <f>SUMIFS(記帳區!$F:$F,記帳區!$K:$K,"&gt;=" &amp; EOMONTH(S$2,-1) + 1,記帳區!$K:$K,"&lt;=" &amp; EOMONTH(S$2, 0),記帳區!$E:$E,$D59)</f>
        <v>0</v>
      </c>
    </row>
    <row r="60" spans="2:19" ht="15.6" customHeight="1" outlineLevel="1">
      <c r="B60" s="298"/>
      <c r="C60" s="300"/>
      <c r="D60" s="99" t="s">
        <v>422</v>
      </c>
      <c r="E60" s="98"/>
      <c r="G60" s="81">
        <f>SUMIFS(記帳區!$F:$F,記帳區!$K:$K,"&gt;=" &amp; EOMONTH(G$2,-1) + 1,記帳區!$K:$K,"&lt;=" &amp; EOMONTH(G$2, 0),記帳區!$E:$E,$D60)</f>
        <v>0</v>
      </c>
      <c r="H60" s="81">
        <f>SUMIFS(記帳區!$F:$F,記帳區!$K:$K,"&gt;=" &amp; EOMONTH(H$2,-1) + 1,記帳區!$K:$K,"&lt;=" &amp; EOMONTH(H$2, 0),記帳區!$E:$E,$D60)</f>
        <v>0</v>
      </c>
      <c r="I60" s="81">
        <f>SUMIFS(記帳區!$F:$F,記帳區!$K:$K,"&gt;=" &amp; EOMONTH(I$2,-1) + 1,記帳區!$K:$K,"&lt;=" &amp; EOMONTH(I$2, 0),記帳區!$E:$E,$D60)</f>
        <v>0</v>
      </c>
      <c r="J60" s="81">
        <f>SUMIFS(記帳區!$F:$F,記帳區!$K:$K,"&gt;=" &amp; EOMONTH(J$2,-1) + 1,記帳區!$K:$K,"&lt;=" &amp; EOMONTH(J$2, 0),記帳區!$E:$E,$D60)</f>
        <v>0</v>
      </c>
      <c r="K60" s="81">
        <f>SUMIFS(記帳區!$F:$F,記帳區!$K:$K,"&gt;=" &amp; EOMONTH(K$2,-1) + 1,記帳區!$K:$K,"&lt;=" &amp; EOMONTH(K$2, 0),記帳區!$E:$E,$D60)</f>
        <v>0</v>
      </c>
      <c r="L60" s="81">
        <f>SUMIFS(記帳區!$F:$F,記帳區!$K:$K,"&gt;=" &amp; EOMONTH(L$2,-1) + 1,記帳區!$K:$K,"&lt;=" &amp; EOMONTH(L$2, 0),記帳區!$E:$E,$D60)</f>
        <v>0</v>
      </c>
      <c r="M60" s="81">
        <f>SUMIFS(記帳區!$F:$F,記帳區!$K:$K,"&gt;=" &amp; EOMONTH(M$2,-1) + 1,記帳區!$K:$K,"&lt;=" &amp; EOMONTH(M$2, 0),記帳區!$E:$E,$D60)</f>
        <v>0</v>
      </c>
      <c r="N60" s="81">
        <f>SUMIFS(記帳區!$F:$F,記帳區!$K:$K,"&gt;=" &amp; EOMONTH(N$2,-1) + 1,記帳區!$K:$K,"&lt;=" &amp; EOMONTH(N$2, 0),記帳區!$E:$E,$D60)</f>
        <v>0</v>
      </c>
      <c r="O60" s="81">
        <f>SUMIFS(記帳區!$F:$F,記帳區!$K:$K,"&gt;=" &amp; EOMONTH(O$2,-1) + 1,記帳區!$K:$K,"&lt;=" &amp; EOMONTH(O$2, 0),記帳區!$E:$E,$D60)</f>
        <v>0</v>
      </c>
      <c r="P60" s="81">
        <f>SUMIFS(記帳區!$F:$F,記帳區!$K:$K,"&gt;=" &amp; EOMONTH(P$2,-1) + 1,記帳區!$K:$K,"&lt;=" &amp; EOMONTH(P$2, 0),記帳區!$E:$E,$D60)</f>
        <v>0</v>
      </c>
      <c r="Q60" s="81">
        <f>SUMIFS(記帳區!$F:$F,記帳區!$K:$K,"&gt;=" &amp; EOMONTH(Q$2,-1) + 1,記帳區!$K:$K,"&lt;=" &amp; EOMONTH(Q$2, 0),記帳區!$E:$E,$D60)</f>
        <v>0</v>
      </c>
      <c r="R60" s="81">
        <f>SUMIFS(記帳區!$F:$F,記帳區!$K:$K,"&gt;=" &amp; EOMONTH(R$2,-1) + 1,記帳區!$K:$K,"&lt;=" &amp; EOMONTH(R$2, 0),記帳區!$E:$E,$D60)</f>
        <v>0</v>
      </c>
      <c r="S60" s="81">
        <f>SUMIFS(記帳區!$F:$F,記帳區!$K:$K,"&gt;=" &amp; EOMONTH(S$2,-1) + 1,記帳區!$K:$K,"&lt;=" &amp; EOMONTH(S$2, 0),記帳區!$E:$E,$D60)</f>
        <v>0</v>
      </c>
    </row>
    <row r="61" spans="2:19">
      <c r="B61" s="298"/>
      <c r="C61" s="300"/>
      <c r="D61" s="97" t="s">
        <v>128</v>
      </c>
      <c r="E61" s="98"/>
      <c r="G61" s="89">
        <f>SUMIFS(記帳區!$F:$F,記帳區!$K:$K,"&gt;=" &amp; EOMONTH(G$2,-1) + 1,記帳區!$K:$K,"&lt;=" &amp; EOMONTH(G$2, 0),記帳區!$D:$D,$D61)</f>
        <v>0</v>
      </c>
      <c r="H61" s="89">
        <f>SUMIFS(記帳區!$F:$F,記帳區!$K:$K,"&gt;=" &amp; EOMONTH(H$2,-1) + 1,記帳區!$K:$K,"&lt;=" &amp; EOMONTH(H$2, 0),記帳區!$D:$D,$D61)</f>
        <v>0</v>
      </c>
      <c r="I61" s="89">
        <f>SUMIFS(記帳區!$F:$F,記帳區!$K:$K,"&gt;=" &amp; EOMONTH(I$2,-1) + 1,記帳區!$K:$K,"&lt;=" &amp; EOMONTH(I$2, 0),記帳區!$D:$D,$D61)</f>
        <v>0</v>
      </c>
      <c r="J61" s="89">
        <f>SUMIFS(記帳區!$F:$F,記帳區!$K:$K,"&gt;=" &amp; EOMONTH(J$2,-1) + 1,記帳區!$K:$K,"&lt;=" &amp; EOMONTH(J$2, 0),記帳區!$D:$D,$D61)</f>
        <v>0</v>
      </c>
      <c r="K61" s="89">
        <f>SUMIFS(記帳區!$F:$F,記帳區!$K:$K,"&gt;=" &amp; EOMONTH(K$2,-1) + 1,記帳區!$K:$K,"&lt;=" &amp; EOMONTH(K$2, 0),記帳區!$D:$D,$D61)</f>
        <v>0</v>
      </c>
      <c r="L61" s="89">
        <f>SUMIFS(記帳區!$F:$F,記帳區!$K:$K,"&gt;=" &amp; EOMONTH(L$2,-1) + 1,記帳區!$K:$K,"&lt;=" &amp; EOMONTH(L$2, 0),記帳區!$D:$D,$D61)</f>
        <v>0</v>
      </c>
      <c r="M61" s="89">
        <f>SUMIFS(記帳區!$F:$F,記帳區!$K:$K,"&gt;=" &amp; EOMONTH(M$2,-1) + 1,記帳區!$K:$K,"&lt;=" &amp; EOMONTH(M$2, 0),記帳區!$D:$D,$D61)</f>
        <v>0</v>
      </c>
      <c r="N61" s="89">
        <f>SUMIFS(記帳區!$F:$F,記帳區!$K:$K,"&gt;=" &amp; EOMONTH(N$2,-1) + 1,記帳區!$K:$K,"&lt;=" &amp; EOMONTH(N$2, 0),記帳區!$D:$D,$D61)</f>
        <v>0</v>
      </c>
      <c r="O61" s="89">
        <f>SUMIFS(記帳區!$F:$F,記帳區!$K:$K,"&gt;=" &amp; EOMONTH(O$2,-1) + 1,記帳區!$K:$K,"&lt;=" &amp; EOMONTH(O$2, 0),記帳區!$D:$D,$D61)</f>
        <v>0</v>
      </c>
      <c r="P61" s="89">
        <f>SUMIFS(記帳區!$F:$F,記帳區!$K:$K,"&gt;=" &amp; EOMONTH(P$2,-1) + 1,記帳區!$K:$K,"&lt;=" &amp; EOMONTH(P$2, 0),記帳區!$D:$D,$D61)</f>
        <v>0</v>
      </c>
      <c r="Q61" s="89">
        <f>SUMIFS(記帳區!$F:$F,記帳區!$K:$K,"&gt;=" &amp; EOMONTH(Q$2,-1) + 1,記帳區!$K:$K,"&lt;=" &amp; EOMONTH(Q$2, 0),記帳區!$D:$D,$D61)</f>
        <v>0</v>
      </c>
      <c r="R61" s="89">
        <f>SUMIFS(記帳區!$F:$F,記帳區!$K:$K,"&gt;=" &amp; EOMONTH(R$2,-1) + 1,記帳區!$K:$K,"&lt;=" &amp; EOMONTH(R$2, 0),記帳區!$D:$D,$D61)</f>
        <v>0</v>
      </c>
      <c r="S61" s="89">
        <f>SUMIFS(記帳區!$F:$F,記帳區!$K:$K,"&gt;=" &amp; EOMONTH(S$2,-1) + 1,記帳區!$K:$K,"&lt;=" &amp; EOMONTH(S$2, 0),記帳區!$D:$D,$D61)</f>
        <v>0</v>
      </c>
    </row>
    <row r="62" spans="2:19" ht="15.6" customHeight="1" outlineLevel="1">
      <c r="B62" s="298"/>
      <c r="C62" s="300"/>
      <c r="D62" s="99" t="s">
        <v>453</v>
      </c>
      <c r="E62" s="98"/>
      <c r="G62" s="81">
        <f>SUMIFS(記帳區!$F:$F,記帳區!$K:$K,"&gt;=" &amp; EOMONTH(G$2,-1) + 1,記帳區!$K:$K,"&lt;=" &amp; EOMONTH(G$2, 0),記帳區!$E:$E,$D62)</f>
        <v>0</v>
      </c>
      <c r="H62" s="81">
        <f>SUMIFS(記帳區!$F:$F,記帳區!$K:$K,"&gt;=" &amp; EOMONTH(H$2,-1) + 1,記帳區!$K:$K,"&lt;=" &amp; EOMONTH(H$2, 0),記帳區!$E:$E,$D62)</f>
        <v>0</v>
      </c>
      <c r="I62" s="81">
        <f>SUMIFS(記帳區!$F:$F,記帳區!$K:$K,"&gt;=" &amp; EOMONTH(I$2,-1) + 1,記帳區!$K:$K,"&lt;=" &amp; EOMONTH(I$2, 0),記帳區!$E:$E,$D62)</f>
        <v>0</v>
      </c>
      <c r="J62" s="81">
        <f>SUMIFS(記帳區!$F:$F,記帳區!$K:$K,"&gt;=" &amp; EOMONTH(J$2,-1) + 1,記帳區!$K:$K,"&lt;=" &amp; EOMONTH(J$2, 0),記帳區!$E:$E,$D62)</f>
        <v>0</v>
      </c>
      <c r="K62" s="81">
        <f>SUMIFS(記帳區!$F:$F,記帳區!$K:$K,"&gt;=" &amp; EOMONTH(K$2,-1) + 1,記帳區!$K:$K,"&lt;=" &amp; EOMONTH(K$2, 0),記帳區!$E:$E,$D62)</f>
        <v>0</v>
      </c>
      <c r="L62" s="81">
        <f>SUMIFS(記帳區!$F:$F,記帳區!$K:$K,"&gt;=" &amp; EOMONTH(L$2,-1) + 1,記帳區!$K:$K,"&lt;=" &amp; EOMONTH(L$2, 0),記帳區!$E:$E,$D62)</f>
        <v>0</v>
      </c>
      <c r="M62" s="81">
        <f>SUMIFS(記帳區!$F:$F,記帳區!$K:$K,"&gt;=" &amp; EOMONTH(M$2,-1) + 1,記帳區!$K:$K,"&lt;=" &amp; EOMONTH(M$2, 0),記帳區!$E:$E,$D62)</f>
        <v>0</v>
      </c>
      <c r="N62" s="81">
        <f>SUMIFS(記帳區!$F:$F,記帳區!$K:$K,"&gt;=" &amp; EOMONTH(N$2,-1) + 1,記帳區!$K:$K,"&lt;=" &amp; EOMONTH(N$2, 0),記帳區!$E:$E,$D62)</f>
        <v>0</v>
      </c>
      <c r="O62" s="81">
        <f>SUMIFS(記帳區!$F:$F,記帳區!$K:$K,"&gt;=" &amp; EOMONTH(O$2,-1) + 1,記帳區!$K:$K,"&lt;=" &amp; EOMONTH(O$2, 0),記帳區!$E:$E,$D62)</f>
        <v>0</v>
      </c>
      <c r="P62" s="81">
        <f>SUMIFS(記帳區!$F:$F,記帳區!$K:$K,"&gt;=" &amp; EOMONTH(P$2,-1) + 1,記帳區!$K:$K,"&lt;=" &amp; EOMONTH(P$2, 0),記帳區!$E:$E,$D62)</f>
        <v>0</v>
      </c>
      <c r="Q62" s="81">
        <f>SUMIFS(記帳區!$F:$F,記帳區!$K:$K,"&gt;=" &amp; EOMONTH(Q$2,-1) + 1,記帳區!$K:$K,"&lt;=" &amp; EOMONTH(Q$2, 0),記帳區!$E:$E,$D62)</f>
        <v>0</v>
      </c>
      <c r="R62" s="81">
        <f>SUMIFS(記帳區!$F:$F,記帳區!$K:$K,"&gt;=" &amp; EOMONTH(R$2,-1) + 1,記帳區!$K:$K,"&lt;=" &amp; EOMONTH(R$2, 0),記帳區!$E:$E,$D62)</f>
        <v>0</v>
      </c>
      <c r="S62" s="81">
        <f>SUMIFS(記帳區!$F:$F,記帳區!$K:$K,"&gt;=" &amp; EOMONTH(S$2,-1) + 1,記帳區!$K:$K,"&lt;=" &amp; EOMONTH(S$2, 0),記帳區!$E:$E,$D62)</f>
        <v>0</v>
      </c>
    </row>
    <row r="63" spans="2:19" ht="15.6" customHeight="1" outlineLevel="1">
      <c r="B63" s="298"/>
      <c r="C63" s="300"/>
      <c r="D63" s="99"/>
      <c r="E63" s="98"/>
      <c r="G63" s="81">
        <f>SUMIFS(記帳區!$F:$F,記帳區!$K:$K,"&gt;=" &amp; EOMONTH(G$2,-1) + 1,記帳區!$K:$K,"&lt;=" &amp; EOMONTH(G$2, 0),記帳區!$E:$E,$D63)</f>
        <v>0</v>
      </c>
      <c r="H63" s="81">
        <f>SUMIFS(記帳區!$F:$F,記帳區!$K:$K,"&gt;=" &amp; EOMONTH(H$2,-1) + 1,記帳區!$K:$K,"&lt;=" &amp; EOMONTH(H$2, 0),記帳區!$E:$E,$D63)</f>
        <v>0</v>
      </c>
      <c r="I63" s="81">
        <f>SUMIFS(記帳區!$F:$F,記帳區!$K:$K,"&gt;=" &amp; EOMONTH(I$2,-1) + 1,記帳區!$K:$K,"&lt;=" &amp; EOMONTH(I$2, 0),記帳區!$E:$E,$D63)</f>
        <v>0</v>
      </c>
      <c r="J63" s="81">
        <f>SUMIFS(記帳區!$F:$F,記帳區!$K:$K,"&gt;=" &amp; EOMONTH(J$2,-1) + 1,記帳區!$K:$K,"&lt;=" &amp; EOMONTH(J$2, 0),記帳區!$E:$E,$D63)</f>
        <v>0</v>
      </c>
      <c r="K63" s="81">
        <f>SUMIFS(記帳區!$F:$F,記帳區!$K:$K,"&gt;=" &amp; EOMONTH(K$2,-1) + 1,記帳區!$K:$K,"&lt;=" &amp; EOMONTH(K$2, 0),記帳區!$E:$E,$D63)</f>
        <v>0</v>
      </c>
      <c r="L63" s="81">
        <f>SUMIFS(記帳區!$F:$F,記帳區!$K:$K,"&gt;=" &amp; EOMONTH(L$2,-1) + 1,記帳區!$K:$K,"&lt;=" &amp; EOMONTH(L$2, 0),記帳區!$E:$E,$D63)</f>
        <v>0</v>
      </c>
      <c r="M63" s="81">
        <f>SUMIFS(記帳區!$F:$F,記帳區!$K:$K,"&gt;=" &amp; EOMONTH(M$2,-1) + 1,記帳區!$K:$K,"&lt;=" &amp; EOMONTH(M$2, 0),記帳區!$E:$E,$D63)</f>
        <v>0</v>
      </c>
      <c r="N63" s="81">
        <f>SUMIFS(記帳區!$F:$F,記帳區!$K:$K,"&gt;=" &amp; EOMONTH(N$2,-1) + 1,記帳區!$K:$K,"&lt;=" &amp; EOMONTH(N$2, 0),記帳區!$E:$E,$D63)</f>
        <v>0</v>
      </c>
      <c r="O63" s="81">
        <f>SUMIFS(記帳區!$F:$F,記帳區!$K:$K,"&gt;=" &amp; EOMONTH(O$2,-1) + 1,記帳區!$K:$K,"&lt;=" &amp; EOMONTH(O$2, 0),記帳區!$E:$E,$D63)</f>
        <v>0</v>
      </c>
      <c r="P63" s="81">
        <f>SUMIFS(記帳區!$F:$F,記帳區!$K:$K,"&gt;=" &amp; EOMONTH(P$2,-1) + 1,記帳區!$K:$K,"&lt;=" &amp; EOMONTH(P$2, 0),記帳區!$E:$E,$D63)</f>
        <v>0</v>
      </c>
      <c r="Q63" s="81">
        <f>SUMIFS(記帳區!$F:$F,記帳區!$K:$K,"&gt;=" &amp; EOMONTH(Q$2,-1) + 1,記帳區!$K:$K,"&lt;=" &amp; EOMONTH(Q$2, 0),記帳區!$E:$E,$D63)</f>
        <v>0</v>
      </c>
      <c r="R63" s="81">
        <f>SUMIFS(記帳區!$F:$F,記帳區!$K:$K,"&gt;=" &amp; EOMONTH(R$2,-1) + 1,記帳區!$K:$K,"&lt;=" &amp; EOMONTH(R$2, 0),記帳區!$E:$E,$D63)</f>
        <v>0</v>
      </c>
      <c r="S63" s="81">
        <f>SUMIFS(記帳區!$F:$F,記帳區!$K:$K,"&gt;=" &amp; EOMONTH(S$2,-1) + 1,記帳區!$K:$K,"&lt;=" &amp; EOMONTH(S$2, 0),記帳區!$E:$E,$D63)</f>
        <v>0</v>
      </c>
    </row>
    <row r="64" spans="2:19" ht="15.75" customHeight="1">
      <c r="B64" s="298"/>
      <c r="C64" s="301" t="s">
        <v>423</v>
      </c>
      <c r="D64" s="97" t="s">
        <v>176</v>
      </c>
      <c r="E64" s="98"/>
      <c r="G64" s="89">
        <f>SUMIFS(記帳區!$F:$F,記帳區!$K:$K,"&gt;=" &amp; EOMONTH(G$2,-1) + 1,記帳區!$K:$K,"&lt;=" &amp; EOMONTH(G$2, 0),記帳區!$D:$D,$D64)</f>
        <v>0</v>
      </c>
      <c r="H64" s="89">
        <f>SUMIFS(記帳區!$F:$F,記帳區!$K:$K,"&gt;=" &amp; EOMONTH(H$2,-1) + 1,記帳區!$K:$K,"&lt;=" &amp; EOMONTH(H$2, 0),記帳區!$D:$D,$D64)</f>
        <v>0</v>
      </c>
      <c r="I64" s="89">
        <f>SUMIFS(記帳區!$F:$F,記帳區!$K:$K,"&gt;=" &amp; EOMONTH(I$2,-1) + 1,記帳區!$K:$K,"&lt;=" &amp; EOMONTH(I$2, 0),記帳區!$D:$D,$D64)</f>
        <v>0</v>
      </c>
      <c r="J64" s="89">
        <f>SUMIFS(記帳區!$F:$F,記帳區!$K:$K,"&gt;=" &amp; EOMONTH(J$2,-1) + 1,記帳區!$K:$K,"&lt;=" &amp; EOMONTH(J$2, 0),記帳區!$D:$D,$D64)</f>
        <v>0</v>
      </c>
      <c r="K64" s="89">
        <f>SUMIFS(記帳區!$F:$F,記帳區!$K:$K,"&gt;=" &amp; EOMONTH(K$2,-1) + 1,記帳區!$K:$K,"&lt;=" &amp; EOMONTH(K$2, 0),記帳區!$D:$D,$D64)</f>
        <v>0</v>
      </c>
      <c r="L64" s="89">
        <f>SUMIFS(記帳區!$F:$F,記帳區!$K:$K,"&gt;=" &amp; EOMONTH(L$2,-1) + 1,記帳區!$K:$K,"&lt;=" &amp; EOMONTH(L$2, 0),記帳區!$D:$D,$D64)</f>
        <v>0</v>
      </c>
      <c r="M64" s="89">
        <f>SUMIFS(記帳區!$F:$F,記帳區!$K:$K,"&gt;=" &amp; EOMONTH(M$2,-1) + 1,記帳區!$K:$K,"&lt;=" &amp; EOMONTH(M$2, 0),記帳區!$D:$D,$D64)</f>
        <v>0</v>
      </c>
      <c r="N64" s="89">
        <f>SUMIFS(記帳區!$F:$F,記帳區!$K:$K,"&gt;=" &amp; EOMONTH(N$2,-1) + 1,記帳區!$K:$K,"&lt;=" &amp; EOMONTH(N$2, 0),記帳區!$D:$D,$D64)</f>
        <v>0</v>
      </c>
      <c r="O64" s="89">
        <f>SUMIFS(記帳區!$F:$F,記帳區!$K:$K,"&gt;=" &amp; EOMONTH(O$2,-1) + 1,記帳區!$K:$K,"&lt;=" &amp; EOMONTH(O$2, 0),記帳區!$D:$D,$D64)</f>
        <v>0</v>
      </c>
      <c r="P64" s="89">
        <f>SUMIFS(記帳區!$F:$F,記帳區!$K:$K,"&gt;=" &amp; EOMONTH(P$2,-1) + 1,記帳區!$K:$K,"&lt;=" &amp; EOMONTH(P$2, 0),記帳區!$D:$D,$D64)</f>
        <v>0</v>
      </c>
      <c r="Q64" s="89">
        <f>SUMIFS(記帳區!$F:$F,記帳區!$K:$K,"&gt;=" &amp; EOMONTH(Q$2,-1) + 1,記帳區!$K:$K,"&lt;=" &amp; EOMONTH(Q$2, 0),記帳區!$D:$D,$D64)</f>
        <v>0</v>
      </c>
      <c r="R64" s="89">
        <f>SUMIFS(記帳區!$F:$F,記帳區!$K:$K,"&gt;=" &amp; EOMONTH(R$2,-1) + 1,記帳區!$K:$K,"&lt;=" &amp; EOMONTH(R$2, 0),記帳區!$D:$D,$D64)</f>
        <v>0</v>
      </c>
      <c r="S64" s="89">
        <f>SUMIFS(記帳區!$F:$F,記帳區!$K:$K,"&gt;=" &amp; EOMONTH(S$2,-1) + 1,記帳區!$K:$K,"&lt;=" &amp; EOMONTH(S$2, 0),記帳區!$D:$D,$D64)</f>
        <v>0</v>
      </c>
    </row>
    <row r="65" spans="2:19" ht="15.6" customHeight="1" outlineLevel="1">
      <c r="B65" s="298"/>
      <c r="C65" s="301"/>
      <c r="D65" s="99" t="s">
        <v>454</v>
      </c>
      <c r="E65" s="98"/>
      <c r="G65" s="81">
        <f>SUMIFS(記帳區!$F:$F,記帳區!$K:$K,"&gt;=" &amp; EOMONTH(G$2,-1) + 1,記帳區!$K:$K,"&lt;=" &amp; EOMONTH(G$2, 0),記帳區!$E:$E,$D65)</f>
        <v>0</v>
      </c>
      <c r="H65" s="81">
        <f>SUMIFS(記帳區!$F:$F,記帳區!$K:$K,"&gt;=" &amp; EOMONTH(H$2,-1) + 1,記帳區!$K:$K,"&lt;=" &amp; EOMONTH(H$2, 0),記帳區!$E:$E,$D65)</f>
        <v>0</v>
      </c>
      <c r="I65" s="81">
        <f>SUMIFS(記帳區!$F:$F,記帳區!$K:$K,"&gt;=" &amp; EOMONTH(I$2,-1) + 1,記帳區!$K:$K,"&lt;=" &amp; EOMONTH(I$2, 0),記帳區!$E:$E,$D65)</f>
        <v>0</v>
      </c>
      <c r="J65" s="81">
        <f>SUMIFS(記帳區!$F:$F,記帳區!$K:$K,"&gt;=" &amp; EOMONTH(J$2,-1) + 1,記帳區!$K:$K,"&lt;=" &amp; EOMONTH(J$2, 0),記帳區!$E:$E,$D65)</f>
        <v>0</v>
      </c>
      <c r="K65" s="81">
        <f>SUMIFS(記帳區!$F:$F,記帳區!$K:$K,"&gt;=" &amp; EOMONTH(K$2,-1) + 1,記帳區!$K:$K,"&lt;=" &amp; EOMONTH(K$2, 0),記帳區!$E:$E,$D65)</f>
        <v>0</v>
      </c>
      <c r="L65" s="81">
        <f>SUMIFS(記帳區!$F:$F,記帳區!$K:$K,"&gt;=" &amp; EOMONTH(L$2,-1) + 1,記帳區!$K:$K,"&lt;=" &amp; EOMONTH(L$2, 0),記帳區!$E:$E,$D65)</f>
        <v>0</v>
      </c>
      <c r="M65" s="81">
        <f>SUMIFS(記帳區!$F:$F,記帳區!$K:$K,"&gt;=" &amp; EOMONTH(M$2,-1) + 1,記帳區!$K:$K,"&lt;=" &amp; EOMONTH(M$2, 0),記帳區!$E:$E,$D65)</f>
        <v>0</v>
      </c>
      <c r="N65" s="81">
        <f>SUMIFS(記帳區!$F:$F,記帳區!$K:$K,"&gt;=" &amp; EOMONTH(N$2,-1) + 1,記帳區!$K:$K,"&lt;=" &amp; EOMONTH(N$2, 0),記帳區!$E:$E,$D65)</f>
        <v>0</v>
      </c>
      <c r="O65" s="81">
        <f>SUMIFS(記帳區!$F:$F,記帳區!$K:$K,"&gt;=" &amp; EOMONTH(O$2,-1) + 1,記帳區!$K:$K,"&lt;=" &amp; EOMONTH(O$2, 0),記帳區!$E:$E,$D65)</f>
        <v>0</v>
      </c>
      <c r="P65" s="81">
        <f>SUMIFS(記帳區!$F:$F,記帳區!$K:$K,"&gt;=" &amp; EOMONTH(P$2,-1) + 1,記帳區!$K:$K,"&lt;=" &amp; EOMONTH(P$2, 0),記帳區!$E:$E,$D65)</f>
        <v>0</v>
      </c>
      <c r="Q65" s="81">
        <f>SUMIFS(記帳區!$F:$F,記帳區!$K:$K,"&gt;=" &amp; EOMONTH(Q$2,-1) + 1,記帳區!$K:$K,"&lt;=" &amp; EOMONTH(Q$2, 0),記帳區!$E:$E,$D65)</f>
        <v>0</v>
      </c>
      <c r="R65" s="81">
        <f>SUMIFS(記帳區!$F:$F,記帳區!$K:$K,"&gt;=" &amp; EOMONTH(R$2,-1) + 1,記帳區!$K:$K,"&lt;=" &amp; EOMONTH(R$2, 0),記帳區!$E:$E,$D65)</f>
        <v>0</v>
      </c>
      <c r="S65" s="81">
        <f>SUMIFS(記帳區!$F:$F,記帳區!$K:$K,"&gt;=" &amp; EOMONTH(S$2,-1) + 1,記帳區!$K:$K,"&lt;=" &amp; EOMONTH(S$2, 0),記帳區!$E:$E,$D65)</f>
        <v>0</v>
      </c>
    </row>
    <row r="66" spans="2:19" ht="15.6" customHeight="1" outlineLevel="1">
      <c r="B66" s="298"/>
      <c r="C66" s="301"/>
      <c r="D66" s="99" t="s">
        <v>455</v>
      </c>
      <c r="E66" s="98"/>
      <c r="G66" s="81">
        <f>SUMIFS(記帳區!$F:$F,記帳區!$K:$K,"&gt;=" &amp; EOMONTH(G$2,-1) + 1,記帳區!$K:$K,"&lt;=" &amp; EOMONTH(G$2, 0),記帳區!$E:$E,$D66)</f>
        <v>0</v>
      </c>
      <c r="H66" s="81">
        <f>SUMIFS(記帳區!$F:$F,記帳區!$K:$K,"&gt;=" &amp; EOMONTH(H$2,-1) + 1,記帳區!$K:$K,"&lt;=" &amp; EOMONTH(H$2, 0),記帳區!$E:$E,$D66)</f>
        <v>0</v>
      </c>
      <c r="I66" s="81">
        <f>SUMIFS(記帳區!$F:$F,記帳區!$K:$K,"&gt;=" &amp; EOMONTH(I$2,-1) + 1,記帳區!$K:$K,"&lt;=" &amp; EOMONTH(I$2, 0),記帳區!$E:$E,$D66)</f>
        <v>0</v>
      </c>
      <c r="J66" s="81">
        <f>SUMIFS(記帳區!$F:$F,記帳區!$K:$K,"&gt;=" &amp; EOMONTH(J$2,-1) + 1,記帳區!$K:$K,"&lt;=" &amp; EOMONTH(J$2, 0),記帳區!$E:$E,$D66)</f>
        <v>0</v>
      </c>
      <c r="K66" s="81">
        <f>SUMIFS(記帳區!$F:$F,記帳區!$K:$K,"&gt;=" &amp; EOMONTH(K$2,-1) + 1,記帳區!$K:$K,"&lt;=" &amp; EOMONTH(K$2, 0),記帳區!$E:$E,$D66)</f>
        <v>0</v>
      </c>
      <c r="L66" s="81">
        <f>SUMIFS(記帳區!$F:$F,記帳區!$K:$K,"&gt;=" &amp; EOMONTH(L$2,-1) + 1,記帳區!$K:$K,"&lt;=" &amp; EOMONTH(L$2, 0),記帳區!$E:$E,$D66)</f>
        <v>0</v>
      </c>
      <c r="M66" s="81">
        <f>SUMIFS(記帳區!$F:$F,記帳區!$K:$K,"&gt;=" &amp; EOMONTH(M$2,-1) + 1,記帳區!$K:$K,"&lt;=" &amp; EOMONTH(M$2, 0),記帳區!$E:$E,$D66)</f>
        <v>0</v>
      </c>
      <c r="N66" s="81">
        <f>SUMIFS(記帳區!$F:$F,記帳區!$K:$K,"&gt;=" &amp; EOMONTH(N$2,-1) + 1,記帳區!$K:$K,"&lt;=" &amp; EOMONTH(N$2, 0),記帳區!$E:$E,$D66)</f>
        <v>0</v>
      </c>
      <c r="O66" s="81">
        <f>SUMIFS(記帳區!$F:$F,記帳區!$K:$K,"&gt;=" &amp; EOMONTH(O$2,-1) + 1,記帳區!$K:$K,"&lt;=" &amp; EOMONTH(O$2, 0),記帳區!$E:$E,$D66)</f>
        <v>0</v>
      </c>
      <c r="P66" s="81">
        <f>SUMIFS(記帳區!$F:$F,記帳區!$K:$K,"&gt;=" &amp; EOMONTH(P$2,-1) + 1,記帳區!$K:$K,"&lt;=" &amp; EOMONTH(P$2, 0),記帳區!$E:$E,$D66)</f>
        <v>0</v>
      </c>
      <c r="Q66" s="81">
        <f>SUMIFS(記帳區!$F:$F,記帳區!$K:$K,"&gt;=" &amp; EOMONTH(Q$2,-1) + 1,記帳區!$K:$K,"&lt;=" &amp; EOMONTH(Q$2, 0),記帳區!$E:$E,$D66)</f>
        <v>0</v>
      </c>
      <c r="R66" s="81">
        <f>SUMIFS(記帳區!$F:$F,記帳區!$K:$K,"&gt;=" &amp; EOMONTH(R$2,-1) + 1,記帳區!$K:$K,"&lt;=" &amp; EOMONTH(R$2, 0),記帳區!$E:$E,$D66)</f>
        <v>0</v>
      </c>
      <c r="S66" s="81">
        <f>SUMIFS(記帳區!$F:$F,記帳區!$K:$K,"&gt;=" &amp; EOMONTH(S$2,-1) + 1,記帳區!$K:$K,"&lt;=" &amp; EOMONTH(S$2, 0),記帳區!$E:$E,$D66)</f>
        <v>0</v>
      </c>
    </row>
    <row r="67" spans="2:19">
      <c r="B67" s="298"/>
      <c r="C67" s="301"/>
      <c r="D67" s="97" t="s">
        <v>456</v>
      </c>
      <c r="E67" s="102"/>
      <c r="G67" s="89">
        <f>SUMIFS(記帳區!$F:$F,記帳區!$K:$K,"&gt;=" &amp; EOMONTH(G$2,-1) + 1,記帳區!$K:$K,"&lt;=" &amp; EOMONTH(G$2, 0),記帳區!$D:$D,$D67)</f>
        <v>0</v>
      </c>
      <c r="H67" s="89">
        <f>SUMIFS(記帳區!$F:$F,記帳區!$K:$K,"&gt;=" &amp; EOMONTH(H$2,-1) + 1,記帳區!$K:$K,"&lt;=" &amp; EOMONTH(H$2, 0),記帳區!$D:$D,$D67)</f>
        <v>0</v>
      </c>
      <c r="I67" s="89">
        <f>SUMIFS(記帳區!$F:$F,記帳區!$K:$K,"&gt;=" &amp; EOMONTH(I$2,-1) + 1,記帳區!$K:$K,"&lt;=" &amp; EOMONTH(I$2, 0),記帳區!$D:$D,$D67)</f>
        <v>0</v>
      </c>
      <c r="J67" s="89">
        <f>SUMIFS(記帳區!$F:$F,記帳區!$K:$K,"&gt;=" &amp; EOMONTH(J$2,-1) + 1,記帳區!$K:$K,"&lt;=" &amp; EOMONTH(J$2, 0),記帳區!$D:$D,$D67)</f>
        <v>0</v>
      </c>
      <c r="K67" s="89">
        <f>SUMIFS(記帳區!$F:$F,記帳區!$K:$K,"&gt;=" &amp; EOMONTH(K$2,-1) + 1,記帳區!$K:$K,"&lt;=" &amp; EOMONTH(K$2, 0),記帳區!$D:$D,$D67)</f>
        <v>0</v>
      </c>
      <c r="L67" s="89">
        <f>SUMIFS(記帳區!$F:$F,記帳區!$K:$K,"&gt;=" &amp; EOMONTH(L$2,-1) + 1,記帳區!$K:$K,"&lt;=" &amp; EOMONTH(L$2, 0),記帳區!$D:$D,$D67)</f>
        <v>0</v>
      </c>
      <c r="M67" s="89">
        <f>SUMIFS(記帳區!$F:$F,記帳區!$K:$K,"&gt;=" &amp; EOMONTH(M$2,-1) + 1,記帳區!$K:$K,"&lt;=" &amp; EOMONTH(M$2, 0),記帳區!$D:$D,$D67)</f>
        <v>0</v>
      </c>
      <c r="N67" s="89">
        <f>SUMIFS(記帳區!$F:$F,記帳區!$K:$K,"&gt;=" &amp; EOMONTH(N$2,-1) + 1,記帳區!$K:$K,"&lt;=" &amp; EOMONTH(N$2, 0),記帳區!$D:$D,$D67)</f>
        <v>0</v>
      </c>
      <c r="O67" s="89">
        <f>SUMIFS(記帳區!$F:$F,記帳區!$K:$K,"&gt;=" &amp; EOMONTH(O$2,-1) + 1,記帳區!$K:$K,"&lt;=" &amp; EOMONTH(O$2, 0),記帳區!$D:$D,$D67)</f>
        <v>0</v>
      </c>
      <c r="P67" s="89">
        <f>SUMIFS(記帳區!$F:$F,記帳區!$K:$K,"&gt;=" &amp; EOMONTH(P$2,-1) + 1,記帳區!$K:$K,"&lt;=" &amp; EOMONTH(P$2, 0),記帳區!$D:$D,$D67)</f>
        <v>0</v>
      </c>
      <c r="Q67" s="89">
        <f>SUMIFS(記帳區!$F:$F,記帳區!$K:$K,"&gt;=" &amp; EOMONTH(Q$2,-1) + 1,記帳區!$K:$K,"&lt;=" &amp; EOMONTH(Q$2, 0),記帳區!$D:$D,$D67)</f>
        <v>0</v>
      </c>
      <c r="R67" s="89">
        <f>SUMIFS(記帳區!$F:$F,記帳區!$K:$K,"&gt;=" &amp; EOMONTH(R$2,-1) + 1,記帳區!$K:$K,"&lt;=" &amp; EOMONTH(R$2, 0),記帳區!$D:$D,$D67)</f>
        <v>0</v>
      </c>
      <c r="S67" s="89">
        <f>SUMIFS(記帳區!$F:$F,記帳區!$K:$K,"&gt;=" &amp; EOMONTH(S$2,-1) + 1,記帳區!$K:$K,"&lt;=" &amp; EOMONTH(S$2, 0),記帳區!$D:$D,$D67)</f>
        <v>0</v>
      </c>
    </row>
    <row r="68" spans="2:19" outlineLevel="1">
      <c r="B68" s="229"/>
      <c r="C68" s="301"/>
      <c r="D68" s="99"/>
      <c r="E68" s="98"/>
      <c r="G68" s="81">
        <f>SUMIFS(記帳區!$F:$F,記帳區!$K:$K,"&gt;=" &amp; EOMONTH(G$2,-1) + 1,記帳區!$K:$K,"&lt;=" &amp; EOMONTH(G$2, 0),記帳區!$E:$E,$D68)</f>
        <v>0</v>
      </c>
      <c r="H68" s="81">
        <f>SUMIFS(記帳區!$F:$F,記帳區!$K:$K,"&gt;=" &amp; EOMONTH(H$2,-1) + 1,記帳區!$K:$K,"&lt;=" &amp; EOMONTH(H$2, 0),記帳區!$E:$E,$D68)</f>
        <v>0</v>
      </c>
      <c r="I68" s="81">
        <f>SUMIFS(記帳區!$F:$F,記帳區!$K:$K,"&gt;=" &amp; EOMONTH(I$2,-1) + 1,記帳區!$K:$K,"&lt;=" &amp; EOMONTH(I$2, 0),記帳區!$E:$E,$D68)</f>
        <v>0</v>
      </c>
      <c r="J68" s="81">
        <f>SUMIFS(記帳區!$F:$F,記帳區!$K:$K,"&gt;=" &amp; EOMONTH(J$2,-1) + 1,記帳區!$K:$K,"&lt;=" &amp; EOMONTH(J$2, 0),記帳區!$E:$E,$D68)</f>
        <v>0</v>
      </c>
      <c r="K68" s="81">
        <f>SUMIFS(記帳區!$F:$F,記帳區!$K:$K,"&gt;=" &amp; EOMONTH(K$2,-1) + 1,記帳區!$K:$K,"&lt;=" &amp; EOMONTH(K$2, 0),記帳區!$E:$E,$D68)</f>
        <v>0</v>
      </c>
      <c r="L68" s="81">
        <f>SUMIFS(記帳區!$F:$F,記帳區!$K:$K,"&gt;=" &amp; EOMONTH(L$2,-1) + 1,記帳區!$K:$K,"&lt;=" &amp; EOMONTH(L$2, 0),記帳區!$E:$E,$D68)</f>
        <v>0</v>
      </c>
      <c r="M68" s="81">
        <f>SUMIFS(記帳區!$F:$F,記帳區!$K:$K,"&gt;=" &amp; EOMONTH(M$2,-1) + 1,記帳區!$K:$K,"&lt;=" &amp; EOMONTH(M$2, 0),記帳區!$E:$E,$D68)</f>
        <v>0</v>
      </c>
      <c r="N68" s="81">
        <f>SUMIFS(記帳區!$F:$F,記帳區!$K:$K,"&gt;=" &amp; EOMONTH(N$2,-1) + 1,記帳區!$K:$K,"&lt;=" &amp; EOMONTH(N$2, 0),記帳區!$E:$E,$D68)</f>
        <v>0</v>
      </c>
      <c r="O68" s="81">
        <f>SUMIFS(記帳區!$F:$F,記帳區!$K:$K,"&gt;=" &amp; EOMONTH(O$2,-1) + 1,記帳區!$K:$K,"&lt;=" &amp; EOMONTH(O$2, 0),記帳區!$E:$E,$D68)</f>
        <v>0</v>
      </c>
      <c r="P68" s="81">
        <f>SUMIFS(記帳區!$F:$F,記帳區!$K:$K,"&gt;=" &amp; EOMONTH(P$2,-1) + 1,記帳區!$K:$K,"&lt;=" &amp; EOMONTH(P$2, 0),記帳區!$E:$E,$D68)</f>
        <v>0</v>
      </c>
      <c r="Q68" s="81">
        <f>SUMIFS(記帳區!$F:$F,記帳區!$K:$K,"&gt;=" &amp; EOMONTH(Q$2,-1) + 1,記帳區!$K:$K,"&lt;=" &amp; EOMONTH(Q$2, 0),記帳區!$E:$E,$D68)</f>
        <v>0</v>
      </c>
      <c r="R68" s="81">
        <f>SUMIFS(記帳區!$F:$F,記帳區!$K:$K,"&gt;=" &amp; EOMONTH(R$2,-1) + 1,記帳區!$K:$K,"&lt;=" &amp; EOMONTH(R$2, 0),記帳區!$E:$E,$D68)</f>
        <v>0</v>
      </c>
      <c r="S68" s="81">
        <f>SUMIFS(記帳區!$F:$F,記帳區!$K:$K,"&gt;=" &amp; EOMONTH(S$2,-1) + 1,記帳區!$K:$K,"&lt;=" &amp; EOMONTH(S$2, 0),記帳區!$E:$E,$D68)</f>
        <v>0</v>
      </c>
    </row>
    <row r="69" spans="2:19" outlineLevel="1">
      <c r="B69" s="229"/>
      <c r="C69" s="301"/>
      <c r="D69" s="99"/>
      <c r="E69" s="98"/>
      <c r="G69" s="81">
        <f>SUMIFS(記帳區!$F:$F,記帳區!$K:$K,"&gt;=" &amp; EOMONTH(G$2,-1) + 1,記帳區!$K:$K,"&lt;=" &amp; EOMONTH(G$2, 0),記帳區!$E:$E,$D69)</f>
        <v>0</v>
      </c>
      <c r="H69" s="81">
        <f>SUMIFS(記帳區!$F:$F,記帳區!$K:$K,"&gt;=" &amp; EOMONTH(H$2,-1) + 1,記帳區!$K:$K,"&lt;=" &amp; EOMONTH(H$2, 0),記帳區!$E:$E,$D69)</f>
        <v>0</v>
      </c>
      <c r="I69" s="81">
        <f>SUMIFS(記帳區!$F:$F,記帳區!$K:$K,"&gt;=" &amp; EOMONTH(I$2,-1) + 1,記帳區!$K:$K,"&lt;=" &amp; EOMONTH(I$2, 0),記帳區!$E:$E,$D69)</f>
        <v>0</v>
      </c>
      <c r="J69" s="81">
        <f>SUMIFS(記帳區!$F:$F,記帳區!$K:$K,"&gt;=" &amp; EOMONTH(J$2,-1) + 1,記帳區!$K:$K,"&lt;=" &amp; EOMONTH(J$2, 0),記帳區!$E:$E,$D69)</f>
        <v>0</v>
      </c>
      <c r="K69" s="81">
        <f>SUMIFS(記帳區!$F:$F,記帳區!$K:$K,"&gt;=" &amp; EOMONTH(K$2,-1) + 1,記帳區!$K:$K,"&lt;=" &amp; EOMONTH(K$2, 0),記帳區!$E:$E,$D69)</f>
        <v>0</v>
      </c>
      <c r="L69" s="81">
        <f>SUMIFS(記帳區!$F:$F,記帳區!$K:$K,"&gt;=" &amp; EOMONTH(L$2,-1) + 1,記帳區!$K:$K,"&lt;=" &amp; EOMONTH(L$2, 0),記帳區!$E:$E,$D69)</f>
        <v>0</v>
      </c>
      <c r="M69" s="81">
        <f>SUMIFS(記帳區!$F:$F,記帳區!$K:$K,"&gt;=" &amp; EOMONTH(M$2,-1) + 1,記帳區!$K:$K,"&lt;=" &amp; EOMONTH(M$2, 0),記帳區!$E:$E,$D69)</f>
        <v>0</v>
      </c>
      <c r="N69" s="81">
        <f>SUMIFS(記帳區!$F:$F,記帳區!$K:$K,"&gt;=" &amp; EOMONTH(N$2,-1) + 1,記帳區!$K:$K,"&lt;=" &amp; EOMONTH(N$2, 0),記帳區!$E:$E,$D69)</f>
        <v>0</v>
      </c>
      <c r="O69" s="81">
        <f>SUMIFS(記帳區!$F:$F,記帳區!$K:$K,"&gt;=" &amp; EOMONTH(O$2,-1) + 1,記帳區!$K:$K,"&lt;=" &amp; EOMONTH(O$2, 0),記帳區!$E:$E,$D69)</f>
        <v>0</v>
      </c>
      <c r="P69" s="81">
        <f>SUMIFS(記帳區!$F:$F,記帳區!$K:$K,"&gt;=" &amp; EOMONTH(P$2,-1) + 1,記帳區!$K:$K,"&lt;=" &amp; EOMONTH(P$2, 0),記帳區!$E:$E,$D69)</f>
        <v>0</v>
      </c>
      <c r="Q69" s="81">
        <f>SUMIFS(記帳區!$F:$F,記帳區!$K:$K,"&gt;=" &amp; EOMONTH(Q$2,-1) + 1,記帳區!$K:$K,"&lt;=" &amp; EOMONTH(Q$2, 0),記帳區!$E:$E,$D69)</f>
        <v>0</v>
      </c>
      <c r="R69" s="81">
        <f>SUMIFS(記帳區!$F:$F,記帳區!$K:$K,"&gt;=" &amp; EOMONTH(R$2,-1) + 1,記帳區!$K:$K,"&lt;=" &amp; EOMONTH(R$2, 0),記帳區!$E:$E,$D69)</f>
        <v>0</v>
      </c>
      <c r="S69" s="81">
        <f>SUMIFS(記帳區!$F:$F,記帳區!$K:$K,"&gt;=" &amp; EOMONTH(S$2,-1) + 1,記帳區!$K:$K,"&lt;=" &amp; EOMONTH(S$2, 0),記帳區!$E:$E,$D69)</f>
        <v>0</v>
      </c>
    </row>
    <row r="70" spans="2:19" ht="15" customHeight="1" collapsed="1">
      <c r="B70" s="299" t="s">
        <v>261</v>
      </c>
      <c r="C70" s="299"/>
      <c r="D70" s="103" t="s">
        <v>371</v>
      </c>
      <c r="E70" s="77">
        <f>SUM(E71+E74+E78)</f>
        <v>34200</v>
      </c>
      <c r="G70" s="81">
        <f t="shared" ref="G70:S70" si="16">SUM(G71+G74+G78)</f>
        <v>0</v>
      </c>
      <c r="H70" s="81">
        <f t="shared" si="16"/>
        <v>-20000</v>
      </c>
      <c r="I70" s="81">
        <f t="shared" si="16"/>
        <v>0</v>
      </c>
      <c r="J70" s="81">
        <f t="shared" si="16"/>
        <v>0</v>
      </c>
      <c r="K70" s="81">
        <f t="shared" si="16"/>
        <v>0</v>
      </c>
      <c r="L70" s="81">
        <f t="shared" si="16"/>
        <v>0</v>
      </c>
      <c r="M70" s="81">
        <f t="shared" si="16"/>
        <v>0</v>
      </c>
      <c r="N70" s="81">
        <f t="shared" si="16"/>
        <v>0</v>
      </c>
      <c r="O70" s="81">
        <f t="shared" si="16"/>
        <v>0</v>
      </c>
      <c r="P70" s="81">
        <f t="shared" si="16"/>
        <v>0</v>
      </c>
      <c r="Q70" s="81">
        <f t="shared" si="16"/>
        <v>0</v>
      </c>
      <c r="R70" s="81">
        <f t="shared" si="16"/>
        <v>0</v>
      </c>
      <c r="S70" s="81">
        <f t="shared" si="16"/>
        <v>0</v>
      </c>
    </row>
    <row r="71" spans="2:19" ht="15" customHeight="1">
      <c r="B71" s="299"/>
      <c r="C71" s="299"/>
      <c r="D71" s="97" t="s">
        <v>457</v>
      </c>
      <c r="E71" s="99">
        <f>E5*0.15</f>
        <v>11400</v>
      </c>
      <c r="F71" s="95"/>
      <c r="G71" s="89">
        <f>SUMIFS(記帳區!$F:$F,記帳區!$K:$K,"&gt;=" &amp; EOMONTH(G$2,-1) + 1,記帳區!$K:$K,"&lt;=" &amp; EOMONTH(G$2, 0),記帳區!$D:$D,$D71)</f>
        <v>0</v>
      </c>
      <c r="H71" s="89">
        <f>SUMIFS(記帳區!$F:$F,記帳區!$K:$K,"&gt;=" &amp; EOMONTH(H$2,-1) + 1,記帳區!$K:$K,"&lt;=" &amp; EOMONTH(H$2, 0),記帳區!$D:$D,$D71)</f>
        <v>0</v>
      </c>
      <c r="I71" s="89">
        <f>SUMIFS(記帳區!$F:$F,記帳區!$K:$K,"&gt;=" &amp; EOMONTH(I$2,-1) + 1,記帳區!$K:$K,"&lt;=" &amp; EOMONTH(I$2, 0),記帳區!$D:$D,$D71)</f>
        <v>0</v>
      </c>
      <c r="J71" s="89">
        <f>SUMIFS(記帳區!$F:$F,記帳區!$K:$K,"&gt;=" &amp; EOMONTH(J$2,-1) + 1,記帳區!$K:$K,"&lt;=" &amp; EOMONTH(J$2, 0),記帳區!$D:$D,$D71)</f>
        <v>0</v>
      </c>
      <c r="K71" s="89">
        <f>SUMIFS(記帳區!$F:$F,記帳區!$K:$K,"&gt;=" &amp; EOMONTH(K$2,-1) + 1,記帳區!$K:$K,"&lt;=" &amp; EOMONTH(K$2, 0),記帳區!$D:$D,$D71)</f>
        <v>0</v>
      </c>
      <c r="L71" s="89">
        <f>SUMIFS(記帳區!$F:$F,記帳區!$K:$K,"&gt;=" &amp; EOMONTH(L$2,-1) + 1,記帳區!$K:$K,"&lt;=" &amp; EOMONTH(L$2, 0),記帳區!$D:$D,$D71)</f>
        <v>0</v>
      </c>
      <c r="M71" s="89">
        <f>SUMIFS(記帳區!$F:$F,記帳區!$K:$K,"&gt;=" &amp; EOMONTH(M$2,-1) + 1,記帳區!$K:$K,"&lt;=" &amp; EOMONTH(M$2, 0),記帳區!$D:$D,$D71)</f>
        <v>0</v>
      </c>
      <c r="N71" s="89">
        <f>SUMIFS(記帳區!$F:$F,記帳區!$K:$K,"&gt;=" &amp; EOMONTH(N$2,-1) + 1,記帳區!$K:$K,"&lt;=" &amp; EOMONTH(N$2, 0),記帳區!$D:$D,$D71)</f>
        <v>0</v>
      </c>
      <c r="O71" s="89">
        <f>SUMIFS(記帳區!$F:$F,記帳區!$K:$K,"&gt;=" &amp; EOMONTH(O$2,-1) + 1,記帳區!$K:$K,"&lt;=" &amp; EOMONTH(O$2, 0),記帳區!$D:$D,$D71)</f>
        <v>0</v>
      </c>
      <c r="P71" s="89">
        <f>SUMIFS(記帳區!$F:$F,記帳區!$K:$K,"&gt;=" &amp; EOMONTH(P$2,-1) + 1,記帳區!$K:$K,"&lt;=" &amp; EOMONTH(P$2, 0),記帳區!$D:$D,$D71)</f>
        <v>0</v>
      </c>
      <c r="Q71" s="89">
        <f>SUMIFS(記帳區!$F:$F,記帳區!$K:$K,"&gt;=" &amp; EOMONTH(Q$2,-1) + 1,記帳區!$K:$K,"&lt;=" &amp; EOMONTH(Q$2, 0),記帳區!$D:$D,$D71)</f>
        <v>0</v>
      </c>
      <c r="R71" s="89">
        <f>SUMIFS(記帳區!$F:$F,記帳區!$K:$K,"&gt;=" &amp; EOMONTH(R$2,-1) + 1,記帳區!$K:$K,"&lt;=" &amp; EOMONTH(R$2, 0),記帳區!$D:$D,$D71)</f>
        <v>0</v>
      </c>
      <c r="S71" s="89">
        <f>SUMIFS(記帳區!$F:$F,記帳區!$K:$K,"&gt;=" &amp; EOMONTH(S$2,-1) + 1,記帳區!$K:$K,"&lt;=" &amp; EOMONTH(S$2, 0),記帳區!$D:$D,$D71)</f>
        <v>0</v>
      </c>
    </row>
    <row r="72" spans="2:19" ht="15" customHeight="1">
      <c r="B72" s="299"/>
      <c r="C72" s="299"/>
      <c r="D72" s="97"/>
      <c r="E72" s="99"/>
      <c r="F72" s="95"/>
      <c r="G72" s="81">
        <f>SUMIFS(記帳區!$F:$F,記帳區!$K:$K,"&gt;=" &amp; EOMONTH(G$2,-1) + 1,記帳區!$K:$K,"&lt;=" &amp; EOMONTH(G$2, 0),記帳區!$E:$E,$D72)</f>
        <v>0</v>
      </c>
      <c r="H72" s="81">
        <f>SUMIFS(記帳區!$F:$F,記帳區!$K:$K,"&gt;=" &amp; EOMONTH(H$2,-1) + 1,記帳區!$K:$K,"&lt;=" &amp; EOMONTH(H$2, 0),記帳區!$E:$E,$D72)</f>
        <v>0</v>
      </c>
      <c r="I72" s="81">
        <f>SUMIFS(記帳區!$F:$F,記帳區!$K:$K,"&gt;=" &amp; EOMONTH(I$2,-1) + 1,記帳區!$K:$K,"&lt;=" &amp; EOMONTH(I$2, 0),記帳區!$E:$E,$D72)</f>
        <v>0</v>
      </c>
      <c r="J72" s="81">
        <f>SUMIFS(記帳區!$F:$F,記帳區!$K:$K,"&gt;=" &amp; EOMONTH(J$2,-1) + 1,記帳區!$K:$K,"&lt;=" &amp; EOMONTH(J$2, 0),記帳區!$E:$E,$D72)</f>
        <v>0</v>
      </c>
      <c r="K72" s="81">
        <f>SUMIFS(記帳區!$F:$F,記帳區!$K:$K,"&gt;=" &amp; EOMONTH(K$2,-1) + 1,記帳區!$K:$K,"&lt;=" &amp; EOMONTH(K$2, 0),記帳區!$E:$E,$D72)</f>
        <v>0</v>
      </c>
      <c r="L72" s="81">
        <f>SUMIFS(記帳區!$F:$F,記帳區!$K:$K,"&gt;=" &amp; EOMONTH(L$2,-1) + 1,記帳區!$K:$K,"&lt;=" &amp; EOMONTH(L$2, 0),記帳區!$E:$E,$D72)</f>
        <v>0</v>
      </c>
      <c r="M72" s="81">
        <f>SUMIFS(記帳區!$F:$F,記帳區!$K:$K,"&gt;=" &amp; EOMONTH(M$2,-1) + 1,記帳區!$K:$K,"&lt;=" &amp; EOMONTH(M$2, 0),記帳區!$E:$E,$D72)</f>
        <v>0</v>
      </c>
      <c r="N72" s="81">
        <f>SUMIFS(記帳區!$F:$F,記帳區!$K:$K,"&gt;=" &amp; EOMONTH(N$2,-1) + 1,記帳區!$K:$K,"&lt;=" &amp; EOMONTH(N$2, 0),記帳區!$E:$E,$D72)</f>
        <v>0</v>
      </c>
      <c r="O72" s="81">
        <f>SUMIFS(記帳區!$F:$F,記帳區!$K:$K,"&gt;=" &amp; EOMONTH(O$2,-1) + 1,記帳區!$K:$K,"&lt;=" &amp; EOMONTH(O$2, 0),記帳區!$E:$E,$D72)</f>
        <v>0</v>
      </c>
      <c r="P72" s="81">
        <f>SUMIFS(記帳區!$F:$F,記帳區!$K:$K,"&gt;=" &amp; EOMONTH(P$2,-1) + 1,記帳區!$K:$K,"&lt;=" &amp; EOMONTH(P$2, 0),記帳區!$E:$E,$D72)</f>
        <v>0</v>
      </c>
      <c r="Q72" s="81">
        <f>SUMIFS(記帳區!$F:$F,記帳區!$K:$K,"&gt;=" &amp; EOMONTH(Q$2,-1) + 1,記帳區!$K:$K,"&lt;=" &amp; EOMONTH(Q$2, 0),記帳區!$E:$E,$D72)</f>
        <v>0</v>
      </c>
      <c r="R72" s="81">
        <f>SUMIFS(記帳區!$F:$F,記帳區!$K:$K,"&gt;=" &amp; EOMONTH(R$2,-1) + 1,記帳區!$K:$K,"&lt;=" &amp; EOMONTH(R$2, 0),記帳區!$E:$E,$D72)</f>
        <v>0</v>
      </c>
      <c r="S72" s="81">
        <f>SUMIFS(記帳區!$F:$F,記帳區!$K:$K,"&gt;=" &amp; EOMONTH(S$2,-1) + 1,記帳區!$K:$K,"&lt;=" &amp; EOMONTH(S$2, 0),記帳區!$E:$E,$D72)</f>
        <v>0</v>
      </c>
    </row>
    <row r="73" spans="2:19" ht="15" customHeight="1">
      <c r="B73" s="299"/>
      <c r="C73" s="299"/>
      <c r="D73" s="97"/>
      <c r="E73" s="99"/>
      <c r="F73" s="95"/>
      <c r="G73" s="81">
        <f>SUMIFS(記帳區!$F:$F,記帳區!$K:$K,"&gt;=" &amp; EOMONTH(G$2,-1) + 1,記帳區!$K:$K,"&lt;=" &amp; EOMONTH(G$2, 0),記帳區!$E:$E,$D73)</f>
        <v>0</v>
      </c>
      <c r="H73" s="81">
        <f>SUMIFS(記帳區!$F:$F,記帳區!$K:$K,"&gt;=" &amp; EOMONTH(H$2,-1) + 1,記帳區!$K:$K,"&lt;=" &amp; EOMONTH(H$2, 0),記帳區!$E:$E,$D73)</f>
        <v>0</v>
      </c>
      <c r="I73" s="81">
        <f>SUMIFS(記帳區!$F:$F,記帳區!$K:$K,"&gt;=" &amp; EOMONTH(I$2,-1) + 1,記帳區!$K:$K,"&lt;=" &amp; EOMONTH(I$2, 0),記帳區!$E:$E,$D73)</f>
        <v>0</v>
      </c>
      <c r="J73" s="81">
        <f>SUMIFS(記帳區!$F:$F,記帳區!$K:$K,"&gt;=" &amp; EOMONTH(J$2,-1) + 1,記帳區!$K:$K,"&lt;=" &amp; EOMONTH(J$2, 0),記帳區!$E:$E,$D73)</f>
        <v>0</v>
      </c>
      <c r="K73" s="81">
        <f>SUMIFS(記帳區!$F:$F,記帳區!$K:$K,"&gt;=" &amp; EOMONTH(K$2,-1) + 1,記帳區!$K:$K,"&lt;=" &amp; EOMONTH(K$2, 0),記帳區!$E:$E,$D73)</f>
        <v>0</v>
      </c>
      <c r="L73" s="81">
        <f>SUMIFS(記帳區!$F:$F,記帳區!$K:$K,"&gt;=" &amp; EOMONTH(L$2,-1) + 1,記帳區!$K:$K,"&lt;=" &amp; EOMONTH(L$2, 0),記帳區!$E:$E,$D73)</f>
        <v>0</v>
      </c>
      <c r="M73" s="81">
        <f>SUMIFS(記帳區!$F:$F,記帳區!$K:$K,"&gt;=" &amp; EOMONTH(M$2,-1) + 1,記帳區!$K:$K,"&lt;=" &amp; EOMONTH(M$2, 0),記帳區!$E:$E,$D73)</f>
        <v>0</v>
      </c>
      <c r="N73" s="81">
        <f>SUMIFS(記帳區!$F:$F,記帳區!$K:$K,"&gt;=" &amp; EOMONTH(N$2,-1) + 1,記帳區!$K:$K,"&lt;=" &amp; EOMONTH(N$2, 0),記帳區!$E:$E,$D73)</f>
        <v>0</v>
      </c>
      <c r="O73" s="81">
        <f>SUMIFS(記帳區!$F:$F,記帳區!$K:$K,"&gt;=" &amp; EOMONTH(O$2,-1) + 1,記帳區!$K:$K,"&lt;=" &amp; EOMONTH(O$2, 0),記帳區!$E:$E,$D73)</f>
        <v>0</v>
      </c>
      <c r="P73" s="81">
        <f>SUMIFS(記帳區!$F:$F,記帳區!$K:$K,"&gt;=" &amp; EOMONTH(P$2,-1) + 1,記帳區!$K:$K,"&lt;=" &amp; EOMONTH(P$2, 0),記帳區!$E:$E,$D73)</f>
        <v>0</v>
      </c>
      <c r="Q73" s="81">
        <f>SUMIFS(記帳區!$F:$F,記帳區!$K:$K,"&gt;=" &amp; EOMONTH(Q$2,-1) + 1,記帳區!$K:$K,"&lt;=" &amp; EOMONTH(Q$2, 0),記帳區!$E:$E,$D73)</f>
        <v>0</v>
      </c>
      <c r="R73" s="81">
        <f>SUMIFS(記帳區!$F:$F,記帳區!$K:$K,"&gt;=" &amp; EOMONTH(R$2,-1) + 1,記帳區!$K:$K,"&lt;=" &amp; EOMONTH(R$2, 0),記帳區!$E:$E,$D73)</f>
        <v>0</v>
      </c>
      <c r="S73" s="81">
        <f>SUMIFS(記帳區!$F:$F,記帳區!$K:$K,"&gt;=" &amp; EOMONTH(S$2,-1) + 1,記帳區!$K:$K,"&lt;=" &amp; EOMONTH(S$2, 0),記帳區!$E:$E,$D73)</f>
        <v>0</v>
      </c>
    </row>
    <row r="74" spans="2:19" ht="15" customHeight="1">
      <c r="B74" s="299"/>
      <c r="C74" s="299"/>
      <c r="D74" s="97" t="s">
        <v>458</v>
      </c>
      <c r="E74" s="99">
        <f>E6*0.15</f>
        <v>11400</v>
      </c>
      <c r="F74" s="95"/>
      <c r="G74" s="89">
        <f>SUMIFS(記帳區!$F:$F,記帳區!$K:$K,"&gt;=" &amp; EOMONTH(G$2,-1) + 1,記帳區!$K:$K,"&lt;=" &amp; EOMONTH(G$2, 0),記帳區!$D:$D,$D74)</f>
        <v>0</v>
      </c>
      <c r="H74" s="89">
        <f>SUMIFS(記帳區!$F:$F,記帳區!$K:$K,"&gt;=" &amp; EOMONTH(H$2,-1) + 1,記帳區!$K:$K,"&lt;=" &amp; EOMONTH(H$2, 0),記帳區!$D:$D,$D74)</f>
        <v>0</v>
      </c>
      <c r="I74" s="89">
        <f>SUMIFS(記帳區!$F:$F,記帳區!$K:$K,"&gt;=" &amp; EOMONTH(I$2,-1) + 1,記帳區!$K:$K,"&lt;=" &amp; EOMONTH(I$2, 0),記帳區!$D:$D,$D74)</f>
        <v>0</v>
      </c>
      <c r="J74" s="89">
        <f>SUMIFS(記帳區!$F:$F,記帳區!$K:$K,"&gt;=" &amp; EOMONTH(J$2,-1) + 1,記帳區!$K:$K,"&lt;=" &amp; EOMONTH(J$2, 0),記帳區!$D:$D,$D74)</f>
        <v>0</v>
      </c>
      <c r="K74" s="89">
        <f>SUMIFS(記帳區!$F:$F,記帳區!$K:$K,"&gt;=" &amp; EOMONTH(K$2,-1) + 1,記帳區!$K:$K,"&lt;=" &amp; EOMONTH(K$2, 0),記帳區!$D:$D,$D74)</f>
        <v>0</v>
      </c>
      <c r="L74" s="89">
        <f>SUMIFS(記帳區!$F:$F,記帳區!$K:$K,"&gt;=" &amp; EOMONTH(L$2,-1) + 1,記帳區!$K:$K,"&lt;=" &amp; EOMONTH(L$2, 0),記帳區!$D:$D,$D74)</f>
        <v>0</v>
      </c>
      <c r="M74" s="89">
        <f>SUMIFS(記帳區!$F:$F,記帳區!$K:$K,"&gt;=" &amp; EOMONTH(M$2,-1) + 1,記帳區!$K:$K,"&lt;=" &amp; EOMONTH(M$2, 0),記帳區!$D:$D,$D74)</f>
        <v>0</v>
      </c>
      <c r="N74" s="89">
        <f>SUMIFS(記帳區!$F:$F,記帳區!$K:$K,"&gt;=" &amp; EOMONTH(N$2,-1) + 1,記帳區!$K:$K,"&lt;=" &amp; EOMONTH(N$2, 0),記帳區!$D:$D,$D74)</f>
        <v>0</v>
      </c>
      <c r="O74" s="89">
        <f>SUMIFS(記帳區!$F:$F,記帳區!$K:$K,"&gt;=" &amp; EOMONTH(O$2,-1) + 1,記帳區!$K:$K,"&lt;=" &amp; EOMONTH(O$2, 0),記帳區!$D:$D,$D74)</f>
        <v>0</v>
      </c>
      <c r="P74" s="89">
        <f>SUMIFS(記帳區!$F:$F,記帳區!$K:$K,"&gt;=" &amp; EOMONTH(P$2,-1) + 1,記帳區!$K:$K,"&lt;=" &amp; EOMONTH(P$2, 0),記帳區!$D:$D,$D74)</f>
        <v>0</v>
      </c>
      <c r="Q74" s="89">
        <f>SUMIFS(記帳區!$F:$F,記帳區!$K:$K,"&gt;=" &amp; EOMONTH(Q$2,-1) + 1,記帳區!$K:$K,"&lt;=" &amp; EOMONTH(Q$2, 0),記帳區!$D:$D,$D74)</f>
        <v>0</v>
      </c>
      <c r="R74" s="89">
        <f>SUMIFS(記帳區!$F:$F,記帳區!$K:$K,"&gt;=" &amp; EOMONTH(R$2,-1) + 1,記帳區!$K:$K,"&lt;=" &amp; EOMONTH(R$2, 0),記帳區!$D:$D,$D74)</f>
        <v>0</v>
      </c>
      <c r="S74" s="89">
        <f>SUMIFS(記帳區!$F:$F,記帳區!$K:$K,"&gt;=" &amp; EOMONTH(S$2,-1) + 1,記帳區!$K:$K,"&lt;=" &amp; EOMONTH(S$2, 0),記帳區!$D:$D,$D74)</f>
        <v>0</v>
      </c>
    </row>
    <row r="75" spans="2:19" ht="15" customHeight="1">
      <c r="B75" s="299"/>
      <c r="C75" s="299"/>
      <c r="D75" s="97"/>
      <c r="E75" s="99"/>
      <c r="F75" s="95"/>
      <c r="G75" s="81">
        <f>SUMIFS(記帳區!$F:$F,記帳區!$K:$K,"&gt;=" &amp; EOMONTH(G$2,-1) + 1,記帳區!$K:$K,"&lt;=" &amp; EOMONTH(G$2, 0),記帳區!$E:$E,$D75)</f>
        <v>0</v>
      </c>
      <c r="H75" s="81">
        <f>SUMIFS(記帳區!$F:$F,記帳區!$K:$K,"&gt;=" &amp; EOMONTH(H$2,-1) + 1,記帳區!$K:$K,"&lt;=" &amp; EOMONTH(H$2, 0),記帳區!$E:$E,$D75)</f>
        <v>0</v>
      </c>
      <c r="I75" s="81">
        <f>SUMIFS(記帳區!$F:$F,記帳區!$K:$K,"&gt;=" &amp; EOMONTH(I$2,-1) + 1,記帳區!$K:$K,"&lt;=" &amp; EOMONTH(I$2, 0),記帳區!$E:$E,$D75)</f>
        <v>0</v>
      </c>
      <c r="J75" s="81">
        <f>SUMIFS(記帳區!$F:$F,記帳區!$K:$K,"&gt;=" &amp; EOMONTH(J$2,-1) + 1,記帳區!$K:$K,"&lt;=" &amp; EOMONTH(J$2, 0),記帳區!$E:$E,$D75)</f>
        <v>0</v>
      </c>
      <c r="K75" s="81">
        <f>SUMIFS(記帳區!$F:$F,記帳區!$K:$K,"&gt;=" &amp; EOMONTH(K$2,-1) + 1,記帳區!$K:$K,"&lt;=" &amp; EOMONTH(K$2, 0),記帳區!$E:$E,$D75)</f>
        <v>0</v>
      </c>
      <c r="L75" s="81">
        <f>SUMIFS(記帳區!$F:$F,記帳區!$K:$K,"&gt;=" &amp; EOMONTH(L$2,-1) + 1,記帳區!$K:$K,"&lt;=" &amp; EOMONTH(L$2, 0),記帳區!$E:$E,$D75)</f>
        <v>0</v>
      </c>
      <c r="M75" s="81">
        <f>SUMIFS(記帳區!$F:$F,記帳區!$K:$K,"&gt;=" &amp; EOMONTH(M$2,-1) + 1,記帳區!$K:$K,"&lt;=" &amp; EOMONTH(M$2, 0),記帳區!$E:$E,$D75)</f>
        <v>0</v>
      </c>
      <c r="N75" s="81">
        <f>SUMIFS(記帳區!$F:$F,記帳區!$K:$K,"&gt;=" &amp; EOMONTH(N$2,-1) + 1,記帳區!$K:$K,"&lt;=" &amp; EOMONTH(N$2, 0),記帳區!$E:$E,$D75)</f>
        <v>0</v>
      </c>
      <c r="O75" s="81">
        <f>SUMIFS(記帳區!$F:$F,記帳區!$K:$K,"&gt;=" &amp; EOMONTH(O$2,-1) + 1,記帳區!$K:$K,"&lt;=" &amp; EOMONTH(O$2, 0),記帳區!$E:$E,$D75)</f>
        <v>0</v>
      </c>
      <c r="P75" s="81">
        <f>SUMIFS(記帳區!$F:$F,記帳區!$K:$K,"&gt;=" &amp; EOMONTH(P$2,-1) + 1,記帳區!$K:$K,"&lt;=" &amp; EOMONTH(P$2, 0),記帳區!$E:$E,$D75)</f>
        <v>0</v>
      </c>
      <c r="Q75" s="81">
        <f>SUMIFS(記帳區!$F:$F,記帳區!$K:$K,"&gt;=" &amp; EOMONTH(Q$2,-1) + 1,記帳區!$K:$K,"&lt;=" &amp; EOMONTH(Q$2, 0),記帳區!$E:$E,$D75)</f>
        <v>0</v>
      </c>
      <c r="R75" s="81">
        <f>SUMIFS(記帳區!$F:$F,記帳區!$K:$K,"&gt;=" &amp; EOMONTH(R$2,-1) + 1,記帳區!$K:$K,"&lt;=" &amp; EOMONTH(R$2, 0),記帳區!$E:$E,$D75)</f>
        <v>0</v>
      </c>
      <c r="S75" s="81">
        <f>SUMIFS(記帳區!$F:$F,記帳區!$K:$K,"&gt;=" &amp; EOMONTH(S$2,-1) + 1,記帳區!$K:$K,"&lt;=" &amp; EOMONTH(S$2, 0),記帳區!$E:$E,$D75)</f>
        <v>0</v>
      </c>
    </row>
    <row r="76" spans="2:19" ht="15" customHeight="1">
      <c r="B76" s="299"/>
      <c r="C76" s="299"/>
      <c r="D76" s="97"/>
      <c r="E76" s="99"/>
      <c r="F76" s="95"/>
      <c r="G76" s="81">
        <f>SUMIFS(記帳區!$F:$F,記帳區!$K:$K,"&gt;=" &amp; EOMONTH(G$2,-1) + 1,記帳區!$K:$K,"&lt;=" &amp; EOMONTH(G$2, 0),記帳區!$E:$E,$D76)</f>
        <v>0</v>
      </c>
      <c r="H76" s="81">
        <f>SUMIFS(記帳區!$F:$F,記帳區!$K:$K,"&gt;=" &amp; EOMONTH(H$2,-1) + 1,記帳區!$K:$K,"&lt;=" &amp; EOMONTH(H$2, 0),記帳區!$E:$E,$D76)</f>
        <v>0</v>
      </c>
      <c r="I76" s="81">
        <f>SUMIFS(記帳區!$F:$F,記帳區!$K:$K,"&gt;=" &amp; EOMONTH(I$2,-1) + 1,記帳區!$K:$K,"&lt;=" &amp; EOMONTH(I$2, 0),記帳區!$E:$E,$D76)</f>
        <v>0</v>
      </c>
      <c r="J76" s="81">
        <f>SUMIFS(記帳區!$F:$F,記帳區!$K:$K,"&gt;=" &amp; EOMONTH(J$2,-1) + 1,記帳區!$K:$K,"&lt;=" &amp; EOMONTH(J$2, 0),記帳區!$E:$E,$D76)</f>
        <v>0</v>
      </c>
      <c r="K76" s="81">
        <f>SUMIFS(記帳區!$F:$F,記帳區!$K:$K,"&gt;=" &amp; EOMONTH(K$2,-1) + 1,記帳區!$K:$K,"&lt;=" &amp; EOMONTH(K$2, 0),記帳區!$E:$E,$D76)</f>
        <v>0</v>
      </c>
      <c r="L76" s="81">
        <f>SUMIFS(記帳區!$F:$F,記帳區!$K:$K,"&gt;=" &amp; EOMONTH(L$2,-1) + 1,記帳區!$K:$K,"&lt;=" &amp; EOMONTH(L$2, 0),記帳區!$E:$E,$D76)</f>
        <v>0</v>
      </c>
      <c r="M76" s="81">
        <f>SUMIFS(記帳區!$F:$F,記帳區!$K:$K,"&gt;=" &amp; EOMONTH(M$2,-1) + 1,記帳區!$K:$K,"&lt;=" &amp; EOMONTH(M$2, 0),記帳區!$E:$E,$D76)</f>
        <v>0</v>
      </c>
      <c r="N76" s="81">
        <f>SUMIFS(記帳區!$F:$F,記帳區!$K:$K,"&gt;=" &amp; EOMONTH(N$2,-1) + 1,記帳區!$K:$K,"&lt;=" &amp; EOMONTH(N$2, 0),記帳區!$E:$E,$D76)</f>
        <v>0</v>
      </c>
      <c r="O76" s="81">
        <f>SUMIFS(記帳區!$F:$F,記帳區!$K:$K,"&gt;=" &amp; EOMONTH(O$2,-1) + 1,記帳區!$K:$K,"&lt;=" &amp; EOMONTH(O$2, 0),記帳區!$E:$E,$D76)</f>
        <v>0</v>
      </c>
      <c r="P76" s="81">
        <f>SUMIFS(記帳區!$F:$F,記帳區!$K:$K,"&gt;=" &amp; EOMONTH(P$2,-1) + 1,記帳區!$K:$K,"&lt;=" &amp; EOMONTH(P$2, 0),記帳區!$E:$E,$D76)</f>
        <v>0</v>
      </c>
      <c r="Q76" s="81">
        <f>SUMIFS(記帳區!$F:$F,記帳區!$K:$K,"&gt;=" &amp; EOMONTH(Q$2,-1) + 1,記帳區!$K:$K,"&lt;=" &amp; EOMONTH(Q$2, 0),記帳區!$E:$E,$D76)</f>
        <v>0</v>
      </c>
      <c r="R76" s="81">
        <f>SUMIFS(記帳區!$F:$F,記帳區!$K:$K,"&gt;=" &amp; EOMONTH(R$2,-1) + 1,記帳區!$K:$K,"&lt;=" &amp; EOMONTH(R$2, 0),記帳區!$E:$E,$D76)</f>
        <v>0</v>
      </c>
      <c r="S76" s="81">
        <f>SUMIFS(記帳區!$F:$F,記帳區!$K:$K,"&gt;=" &amp; EOMONTH(S$2,-1) + 1,記帳區!$K:$K,"&lt;=" &amp; EOMONTH(S$2, 0),記帳區!$E:$E,$D76)</f>
        <v>0</v>
      </c>
    </row>
    <row r="77" spans="2:19" ht="15" customHeight="1">
      <c r="B77" s="299"/>
      <c r="C77" s="299"/>
      <c r="D77" s="97"/>
      <c r="E77" s="99"/>
      <c r="F77" s="95"/>
      <c r="G77" s="81">
        <f>SUMIFS(記帳區!$F:$F,記帳區!$K:$K,"&gt;=" &amp; EOMONTH(G$2,-1) + 1,記帳區!$K:$K,"&lt;=" &amp; EOMONTH(G$2, 0),記帳區!$E:$E,$D77)</f>
        <v>0</v>
      </c>
      <c r="H77" s="81">
        <f>SUMIFS(記帳區!$F:$F,記帳區!$K:$K,"&gt;=" &amp; EOMONTH(H$2,-1) + 1,記帳區!$K:$K,"&lt;=" &amp; EOMONTH(H$2, 0),記帳區!$E:$E,$D77)</f>
        <v>0</v>
      </c>
      <c r="I77" s="81">
        <f>SUMIFS(記帳區!$F:$F,記帳區!$K:$K,"&gt;=" &amp; EOMONTH(I$2,-1) + 1,記帳區!$K:$K,"&lt;=" &amp; EOMONTH(I$2, 0),記帳區!$E:$E,$D77)</f>
        <v>0</v>
      </c>
      <c r="J77" s="81">
        <f>SUMIFS(記帳區!$F:$F,記帳區!$K:$K,"&gt;=" &amp; EOMONTH(J$2,-1) + 1,記帳區!$K:$K,"&lt;=" &amp; EOMONTH(J$2, 0),記帳區!$E:$E,$D77)</f>
        <v>0</v>
      </c>
      <c r="K77" s="81">
        <f>SUMIFS(記帳區!$F:$F,記帳區!$K:$K,"&gt;=" &amp; EOMONTH(K$2,-1) + 1,記帳區!$K:$K,"&lt;=" &amp; EOMONTH(K$2, 0),記帳區!$E:$E,$D77)</f>
        <v>0</v>
      </c>
      <c r="L77" s="81">
        <f>SUMIFS(記帳區!$F:$F,記帳區!$K:$K,"&gt;=" &amp; EOMONTH(L$2,-1) + 1,記帳區!$K:$K,"&lt;=" &amp; EOMONTH(L$2, 0),記帳區!$E:$E,$D77)</f>
        <v>0</v>
      </c>
      <c r="M77" s="81">
        <f>SUMIFS(記帳區!$F:$F,記帳區!$K:$K,"&gt;=" &amp; EOMONTH(M$2,-1) + 1,記帳區!$K:$K,"&lt;=" &amp; EOMONTH(M$2, 0),記帳區!$E:$E,$D77)</f>
        <v>0</v>
      </c>
      <c r="N77" s="81">
        <f>SUMIFS(記帳區!$F:$F,記帳區!$K:$K,"&gt;=" &amp; EOMONTH(N$2,-1) + 1,記帳區!$K:$K,"&lt;=" &amp; EOMONTH(N$2, 0),記帳區!$E:$E,$D77)</f>
        <v>0</v>
      </c>
      <c r="O77" s="81">
        <f>SUMIFS(記帳區!$F:$F,記帳區!$K:$K,"&gt;=" &amp; EOMONTH(O$2,-1) + 1,記帳區!$K:$K,"&lt;=" &amp; EOMONTH(O$2, 0),記帳區!$E:$E,$D77)</f>
        <v>0</v>
      </c>
      <c r="P77" s="81">
        <f>SUMIFS(記帳區!$F:$F,記帳區!$K:$K,"&gt;=" &amp; EOMONTH(P$2,-1) + 1,記帳區!$K:$K,"&lt;=" &amp; EOMONTH(P$2, 0),記帳區!$E:$E,$D77)</f>
        <v>0</v>
      </c>
      <c r="Q77" s="81">
        <f>SUMIFS(記帳區!$F:$F,記帳區!$K:$K,"&gt;=" &amp; EOMONTH(Q$2,-1) + 1,記帳區!$K:$K,"&lt;=" &amp; EOMONTH(Q$2, 0),記帳區!$E:$E,$D77)</f>
        <v>0</v>
      </c>
      <c r="R77" s="81">
        <f>SUMIFS(記帳區!$F:$F,記帳區!$K:$K,"&gt;=" &amp; EOMONTH(R$2,-1) + 1,記帳區!$K:$K,"&lt;=" &amp; EOMONTH(R$2, 0),記帳區!$E:$E,$D77)</f>
        <v>0</v>
      </c>
      <c r="S77" s="81">
        <f>SUMIFS(記帳區!$F:$F,記帳區!$K:$K,"&gt;=" &amp; EOMONTH(S$2,-1) + 1,記帳區!$K:$K,"&lt;=" &amp; EOMONTH(S$2, 0),記帳區!$E:$E,$D77)</f>
        <v>0</v>
      </c>
    </row>
    <row r="78" spans="2:19" ht="15" customHeight="1">
      <c r="B78" s="299"/>
      <c r="C78" s="299"/>
      <c r="D78" s="97" t="s">
        <v>276</v>
      </c>
      <c r="E78" s="99">
        <f>E6*0.15</f>
        <v>11400</v>
      </c>
      <c r="F78" s="95"/>
      <c r="G78" s="89">
        <f>SUMIFS(記帳區!$F:$F,記帳區!$K:$K,"&gt;=" &amp; EOMONTH(G$2,-1) + 1,記帳區!$K:$K,"&lt;=" &amp; EOMONTH(G$2, 0),記帳區!$D:$D,$D78)</f>
        <v>0</v>
      </c>
      <c r="H78" s="89">
        <f>SUMIFS(記帳區!$F:$F,記帳區!$K:$K,"&gt;=" &amp; EOMONTH(H$2,-1) + 1,記帳區!$K:$K,"&lt;=" &amp; EOMONTH(H$2, 0),記帳區!$D:$D,$D78)</f>
        <v>-20000</v>
      </c>
      <c r="I78" s="89">
        <f>SUMIFS(記帳區!$F:$F,記帳區!$K:$K,"&gt;=" &amp; EOMONTH(I$2,-1) + 1,記帳區!$K:$K,"&lt;=" &amp; EOMONTH(I$2, 0),記帳區!$D:$D,$D78)</f>
        <v>0</v>
      </c>
      <c r="J78" s="89">
        <f>SUMIFS(記帳區!$F:$F,記帳區!$K:$K,"&gt;=" &amp; EOMONTH(J$2,-1) + 1,記帳區!$K:$K,"&lt;=" &amp; EOMONTH(J$2, 0),記帳區!$D:$D,$D78)</f>
        <v>0</v>
      </c>
      <c r="K78" s="89">
        <f>SUMIFS(記帳區!$F:$F,記帳區!$K:$K,"&gt;=" &amp; EOMONTH(K$2,-1) + 1,記帳區!$K:$K,"&lt;=" &amp; EOMONTH(K$2, 0),記帳區!$D:$D,$D78)</f>
        <v>0</v>
      </c>
      <c r="L78" s="89">
        <f>SUMIFS(記帳區!$F:$F,記帳區!$K:$K,"&gt;=" &amp; EOMONTH(L$2,-1) + 1,記帳區!$K:$K,"&lt;=" &amp; EOMONTH(L$2, 0),記帳區!$D:$D,$D78)</f>
        <v>0</v>
      </c>
      <c r="M78" s="89">
        <f>SUMIFS(記帳區!$F:$F,記帳區!$K:$K,"&gt;=" &amp; EOMONTH(M$2,-1) + 1,記帳區!$K:$K,"&lt;=" &amp; EOMONTH(M$2, 0),記帳區!$D:$D,$D78)</f>
        <v>0</v>
      </c>
      <c r="N78" s="89">
        <f>SUMIFS(記帳區!$F:$F,記帳區!$K:$K,"&gt;=" &amp; EOMONTH(N$2,-1) + 1,記帳區!$K:$K,"&lt;=" &amp; EOMONTH(N$2, 0),記帳區!$D:$D,$D78)</f>
        <v>0</v>
      </c>
      <c r="O78" s="89">
        <f>SUMIFS(記帳區!$F:$F,記帳區!$K:$K,"&gt;=" &amp; EOMONTH(O$2,-1) + 1,記帳區!$K:$K,"&lt;=" &amp; EOMONTH(O$2, 0),記帳區!$D:$D,$D78)</f>
        <v>0</v>
      </c>
      <c r="P78" s="89">
        <f>SUMIFS(記帳區!$F:$F,記帳區!$K:$K,"&gt;=" &amp; EOMONTH(P$2,-1) + 1,記帳區!$K:$K,"&lt;=" &amp; EOMONTH(P$2, 0),記帳區!$D:$D,$D78)</f>
        <v>0</v>
      </c>
      <c r="Q78" s="89">
        <f>SUMIFS(記帳區!$F:$F,記帳區!$K:$K,"&gt;=" &amp; EOMONTH(Q$2,-1) + 1,記帳區!$K:$K,"&lt;=" &amp; EOMONTH(Q$2, 0),記帳區!$D:$D,$D78)</f>
        <v>0</v>
      </c>
      <c r="R78" s="89">
        <f>SUMIFS(記帳區!$F:$F,記帳區!$K:$K,"&gt;=" &amp; EOMONTH(R$2,-1) + 1,記帳區!$K:$K,"&lt;=" &amp; EOMONTH(R$2, 0),記帳區!$D:$D,$D78)</f>
        <v>0</v>
      </c>
      <c r="S78" s="89">
        <f>SUMIFS(記帳區!$F:$F,記帳區!$K:$K,"&gt;=" &amp; EOMONTH(S$2,-1) + 1,記帳區!$K:$K,"&lt;=" &amp; EOMONTH(S$2, 0),記帳區!$D:$D,$D78)</f>
        <v>0</v>
      </c>
    </row>
    <row r="79" spans="2:19" ht="15" customHeight="1">
      <c r="B79" s="299"/>
      <c r="C79" s="299"/>
      <c r="D79" s="97" t="s">
        <v>277</v>
      </c>
      <c r="E79" s="95"/>
      <c r="F79" s="95"/>
      <c r="G79" s="81">
        <f>SUMIFS(記帳區!$F:$F,記帳區!$K:$K,"&gt;=" &amp; EOMONTH(G$2,-1) + 1,記帳區!$K:$K,"&lt;=" &amp; EOMONTH(G$2, 0),記帳區!$E:$E,$D79)</f>
        <v>0</v>
      </c>
      <c r="H79" s="81">
        <f>SUMIFS(記帳區!$F:$F,記帳區!$K:$K,"&gt;=" &amp; EOMONTH(H$2,-1) + 1,記帳區!$K:$K,"&lt;=" &amp; EOMONTH(H$2, 0),記帳區!$E:$E,$D79)</f>
        <v>-20000</v>
      </c>
      <c r="I79" s="81">
        <f>SUMIFS(記帳區!$F:$F,記帳區!$K:$K,"&gt;=" &amp; EOMONTH(I$2,-1) + 1,記帳區!$K:$K,"&lt;=" &amp; EOMONTH(I$2, 0),記帳區!$E:$E,$D79)</f>
        <v>0</v>
      </c>
      <c r="J79" s="81">
        <f>SUMIFS(記帳區!$F:$F,記帳區!$K:$K,"&gt;=" &amp; EOMONTH(J$2,-1) + 1,記帳區!$K:$K,"&lt;=" &amp; EOMONTH(J$2, 0),記帳區!$E:$E,$D79)</f>
        <v>0</v>
      </c>
      <c r="K79" s="81">
        <f>SUMIFS(記帳區!$F:$F,記帳區!$K:$K,"&gt;=" &amp; EOMONTH(K$2,-1) + 1,記帳區!$K:$K,"&lt;=" &amp; EOMONTH(K$2, 0),記帳區!$E:$E,$D79)</f>
        <v>0</v>
      </c>
      <c r="L79" s="81">
        <f>SUMIFS(記帳區!$F:$F,記帳區!$K:$K,"&gt;=" &amp; EOMONTH(L$2,-1) + 1,記帳區!$K:$K,"&lt;=" &amp; EOMONTH(L$2, 0),記帳區!$E:$E,$D79)</f>
        <v>0</v>
      </c>
      <c r="M79" s="81">
        <f>SUMIFS(記帳區!$F:$F,記帳區!$K:$K,"&gt;=" &amp; EOMONTH(M$2,-1) + 1,記帳區!$K:$K,"&lt;=" &amp; EOMONTH(M$2, 0),記帳區!$E:$E,$D79)</f>
        <v>0</v>
      </c>
      <c r="N79" s="81">
        <f>SUMIFS(記帳區!$F:$F,記帳區!$K:$K,"&gt;=" &amp; EOMONTH(N$2,-1) + 1,記帳區!$K:$K,"&lt;=" &amp; EOMONTH(N$2, 0),記帳區!$E:$E,$D79)</f>
        <v>0</v>
      </c>
      <c r="O79" s="81">
        <f>SUMIFS(記帳區!$F:$F,記帳區!$K:$K,"&gt;=" &amp; EOMONTH(O$2,-1) + 1,記帳區!$K:$K,"&lt;=" &amp; EOMONTH(O$2, 0),記帳區!$E:$E,$D79)</f>
        <v>0</v>
      </c>
      <c r="P79" s="81">
        <f>SUMIFS(記帳區!$F:$F,記帳區!$K:$K,"&gt;=" &amp; EOMONTH(P$2,-1) + 1,記帳區!$K:$K,"&lt;=" &amp; EOMONTH(P$2, 0),記帳區!$E:$E,$D79)</f>
        <v>0</v>
      </c>
      <c r="Q79" s="81">
        <f>SUMIFS(記帳區!$F:$F,記帳區!$K:$K,"&gt;=" &amp; EOMONTH(Q$2,-1) + 1,記帳區!$K:$K,"&lt;=" &amp; EOMONTH(Q$2, 0),記帳區!$E:$E,$D79)</f>
        <v>0</v>
      </c>
      <c r="R79" s="81">
        <f>SUMIFS(記帳區!$F:$F,記帳區!$K:$K,"&gt;=" &amp; EOMONTH(R$2,-1) + 1,記帳區!$K:$K,"&lt;=" &amp; EOMONTH(R$2, 0),記帳區!$E:$E,$D79)</f>
        <v>0</v>
      </c>
      <c r="S79" s="81">
        <f>SUMIFS(記帳區!$F:$F,記帳區!$K:$K,"&gt;=" &amp; EOMONTH(S$2,-1) + 1,記帳區!$K:$K,"&lt;=" &amp; EOMONTH(S$2, 0),記帳區!$E:$E,$D79)</f>
        <v>0</v>
      </c>
    </row>
    <row r="80" spans="2:19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299" ht="15" customHeight="1"/>
    <row r="300" ht="15" customHeight="1"/>
    <row r="301" ht="15" customHeight="1"/>
    <row r="302" ht="15" customHeight="1"/>
    <row r="303" ht="15" customHeight="1"/>
    <row r="304" ht="15" customHeight="1"/>
    <row r="305" ht="15" customHeight="1"/>
    <row r="306" ht="15" customHeight="1"/>
    <row r="307" ht="15" customHeight="1"/>
    <row r="308" ht="15" customHeight="1"/>
    <row r="309" ht="15" customHeight="1"/>
    <row r="310" ht="15" customHeight="1"/>
    <row r="311" ht="15" customHeight="1"/>
    <row r="312" ht="15" customHeight="1"/>
    <row r="313" ht="15" customHeight="1"/>
    <row r="314" ht="15" customHeight="1"/>
    <row r="315" ht="15" customHeight="1"/>
    <row r="316" ht="15" customHeight="1"/>
    <row r="317" ht="15" customHeight="1"/>
    <row r="318" ht="15" customHeight="1"/>
    <row r="319" ht="15" customHeight="1"/>
    <row r="320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46" ht="15" customHeight="1"/>
    <row r="347" ht="15" customHeight="1"/>
    <row r="348" ht="15" customHeight="1"/>
    <row r="349" ht="15" customHeight="1"/>
    <row r="350" ht="15" customHeight="1"/>
    <row r="351" ht="15" customHeight="1"/>
    <row r="352" ht="15" customHeight="1"/>
    <row r="353" ht="15" customHeight="1"/>
    <row r="354" ht="15" customHeight="1"/>
    <row r="355" ht="15" customHeight="1"/>
    <row r="356" ht="15" customHeight="1"/>
    <row r="357" ht="15" customHeight="1"/>
    <row r="358" ht="15" customHeight="1"/>
    <row r="359" ht="15" customHeight="1"/>
    <row r="360" ht="15" customHeight="1"/>
    <row r="361" ht="15" customHeight="1"/>
    <row r="362" ht="15" customHeight="1"/>
    <row r="363" ht="15" customHeight="1"/>
    <row r="364" ht="15" customHeight="1"/>
    <row r="365" ht="15" customHeight="1"/>
    <row r="366" ht="15" customHeight="1"/>
    <row r="367" ht="15" customHeight="1"/>
    <row r="368" ht="15" customHeight="1"/>
    <row r="369" ht="15" customHeight="1"/>
    <row r="370" ht="15" customHeight="1"/>
    <row r="371" ht="15" customHeight="1"/>
    <row r="372" ht="15" customHeight="1"/>
    <row r="373" ht="15" customHeight="1"/>
    <row r="374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5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2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2" ht="15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5" customHeight="1"/>
    <row r="410" ht="15" customHeight="1"/>
    <row r="411" ht="15" customHeight="1"/>
    <row r="412" ht="15" customHeight="1"/>
    <row r="413" ht="15" customHeight="1"/>
    <row r="414" ht="15" customHeight="1"/>
    <row r="415" ht="15" customHeight="1"/>
    <row r="416" ht="15" customHeight="1"/>
    <row r="417" ht="15" customHeight="1"/>
    <row r="418" ht="15" customHeight="1"/>
    <row r="419" ht="15" customHeight="1"/>
    <row r="420" ht="15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  <row r="427" ht="15" customHeight="1"/>
    <row r="428" ht="15" customHeight="1"/>
    <row r="429" ht="15" customHeight="1"/>
    <row r="430" ht="15" customHeight="1"/>
    <row r="431" ht="15" customHeight="1"/>
    <row r="432" ht="15" customHeight="1"/>
    <row r="433" ht="15" customHeight="1"/>
    <row r="434" ht="15" customHeight="1"/>
    <row r="435" ht="15" customHeight="1"/>
    <row r="436" ht="15" customHeight="1"/>
    <row r="437" ht="15" customHeight="1"/>
    <row r="438" ht="15" customHeight="1"/>
    <row r="439" ht="15" customHeight="1"/>
    <row r="440" ht="15" customHeight="1"/>
    <row r="441" ht="15" customHeight="1"/>
    <row r="442" ht="15" customHeight="1"/>
    <row r="443" ht="15" customHeight="1"/>
    <row r="444" ht="15" customHeight="1"/>
    <row r="445" ht="15" customHeight="1"/>
    <row r="446" ht="15" customHeight="1"/>
    <row r="447" ht="15" customHeight="1"/>
    <row r="448" ht="15" customHeight="1"/>
    <row r="449" ht="15" customHeight="1"/>
    <row r="450" ht="15" customHeight="1"/>
    <row r="451" ht="15" customHeight="1"/>
    <row r="452" ht="15" customHeight="1"/>
    <row r="453" ht="15" customHeight="1"/>
    <row r="454" ht="15" customHeight="1"/>
    <row r="455" ht="15" customHeight="1"/>
    <row r="456" ht="15" customHeight="1"/>
    <row r="457" ht="15" customHeight="1"/>
    <row r="458" ht="15" customHeight="1"/>
    <row r="459" ht="15" customHeight="1"/>
    <row r="460" ht="15" customHeight="1"/>
    <row r="461" ht="15" customHeight="1"/>
    <row r="462" ht="15" customHeight="1"/>
    <row r="463" ht="15" customHeight="1"/>
    <row r="464" ht="15" customHeight="1"/>
    <row r="465" ht="15" customHeight="1"/>
    <row r="466" ht="15" customHeight="1"/>
    <row r="467" ht="15" customHeight="1"/>
    <row r="468" ht="15" customHeight="1"/>
    <row r="469" ht="15" customHeight="1"/>
    <row r="470" ht="15" customHeight="1"/>
    <row r="471" ht="15" customHeight="1"/>
    <row r="472" ht="15" customHeight="1"/>
    <row r="473" ht="15" customHeight="1"/>
    <row r="474" ht="15" customHeight="1"/>
    <row r="475" ht="15" customHeight="1"/>
    <row r="476" ht="15" customHeight="1"/>
    <row r="477" ht="15" customHeight="1"/>
    <row r="478" ht="15" customHeight="1"/>
    <row r="479" ht="15" customHeight="1"/>
    <row r="480" ht="15" customHeight="1"/>
    <row r="481" ht="15" customHeight="1"/>
    <row r="482" ht="15" customHeight="1"/>
    <row r="483" ht="15" customHeight="1"/>
    <row r="484" ht="15" customHeight="1"/>
    <row r="485" ht="15" customHeight="1"/>
    <row r="486" ht="15" customHeight="1"/>
    <row r="487" ht="15" customHeight="1"/>
    <row r="488" ht="15" customHeight="1"/>
    <row r="489" ht="15" customHeight="1"/>
    <row r="490" ht="15" customHeight="1"/>
    <row r="491" ht="15" customHeight="1"/>
    <row r="492" ht="15" customHeight="1"/>
    <row r="493" ht="15" customHeight="1"/>
    <row r="494" ht="15" customHeight="1"/>
    <row r="495" ht="15" customHeight="1"/>
    <row r="496" ht="15" customHeight="1"/>
    <row r="497" ht="15" customHeight="1"/>
    <row r="498" ht="15" customHeight="1"/>
    <row r="499" ht="15" customHeight="1"/>
    <row r="500" ht="15" customHeight="1"/>
    <row r="501" ht="15" customHeight="1"/>
    <row r="502" ht="15" customHeight="1"/>
    <row r="503" ht="15" customHeight="1"/>
    <row r="504" ht="15" customHeight="1"/>
    <row r="505" ht="15" customHeight="1"/>
    <row r="506" ht="15" customHeight="1"/>
    <row r="507" ht="15" customHeight="1"/>
    <row r="508" ht="15" customHeight="1"/>
    <row r="509" ht="15" customHeight="1"/>
    <row r="510" ht="15" customHeight="1"/>
    <row r="511" ht="15" customHeight="1"/>
    <row r="512" ht="15" customHeight="1"/>
    <row r="513" ht="15" customHeight="1"/>
    <row r="514" ht="15" customHeight="1"/>
    <row r="515" ht="15" customHeight="1"/>
    <row r="516" ht="15" customHeight="1"/>
    <row r="517" ht="15" customHeight="1"/>
    <row r="518" ht="15" customHeight="1"/>
    <row r="519" ht="15" customHeight="1"/>
    <row r="520" ht="15" customHeight="1"/>
    <row r="521" ht="15" customHeight="1"/>
    <row r="522" ht="15" customHeight="1"/>
  </sheetData>
  <mergeCells count="6">
    <mergeCell ref="B23:B67"/>
    <mergeCell ref="B70:C79"/>
    <mergeCell ref="C64:C69"/>
    <mergeCell ref="B5:C21"/>
    <mergeCell ref="C52:C63"/>
    <mergeCell ref="C23:C51"/>
  </mergeCells>
  <phoneticPr fontId="1" type="noConversion"/>
  <pageMargins left="0.7" right="0.7" top="0.75" bottom="0.75" header="0.3" footer="0.3"/>
  <ignoredErrors>
    <ignoredError sqref="G9:S21 G50:S68 G49 I49:S49 G22:S48" 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K10" sqref="K10"/>
    </sheetView>
  </sheetViews>
  <sheetFormatPr defaultColWidth="9" defaultRowHeight="16.5"/>
  <cols>
    <col min="1" max="16384" width="9" style="66"/>
  </cols>
  <sheetData/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B2:Q31"/>
  <sheetViews>
    <sheetView workbookViewId="0">
      <selection activeCell="I12" sqref="I12"/>
    </sheetView>
  </sheetViews>
  <sheetFormatPr defaultColWidth="9" defaultRowHeight="16.5"/>
  <cols>
    <col min="1" max="1" width="9" style="66"/>
    <col min="2" max="2" width="14.375" style="66" bestFit="1" customWidth="1"/>
    <col min="3" max="3" width="23.875" style="66" bestFit="1" customWidth="1"/>
    <col min="4" max="4" width="12.75" style="66" bestFit="1" customWidth="1"/>
    <col min="5" max="5" width="12.75" style="66" customWidth="1"/>
    <col min="6" max="10" width="9.5" style="66" bestFit="1" customWidth="1"/>
    <col min="11" max="12" width="6.125" style="66" bestFit="1" customWidth="1"/>
    <col min="13" max="13" width="7.125" style="66" bestFit="1" customWidth="1"/>
    <col min="14" max="17" width="9.5" style="66" bestFit="1" customWidth="1"/>
    <col min="18" max="16384" width="9" style="66"/>
  </cols>
  <sheetData>
    <row r="2" spans="2:17" ht="21" customHeight="1">
      <c r="B2" s="306" t="s">
        <v>459</v>
      </c>
      <c r="C2" s="307" t="s">
        <v>460</v>
      </c>
      <c r="D2" s="304" t="s">
        <v>461</v>
      </c>
      <c r="E2" s="304" t="s">
        <v>462</v>
      </c>
      <c r="F2" s="302" t="s">
        <v>463</v>
      </c>
      <c r="G2" s="303"/>
      <c r="H2" s="303"/>
      <c r="I2" s="302" t="s">
        <v>464</v>
      </c>
      <c r="J2" s="303"/>
      <c r="K2" s="302" t="s">
        <v>465</v>
      </c>
      <c r="L2" s="303"/>
      <c r="M2" s="303"/>
      <c r="N2" s="302" t="s">
        <v>466</v>
      </c>
      <c r="O2" s="303"/>
      <c r="P2" s="302" t="s">
        <v>467</v>
      </c>
      <c r="Q2" s="303"/>
    </row>
    <row r="3" spans="2:17" ht="21" customHeight="1">
      <c r="B3" s="303"/>
      <c r="C3" s="303"/>
      <c r="D3" s="305"/>
      <c r="E3" s="304"/>
      <c r="F3" s="67" t="s">
        <v>468</v>
      </c>
      <c r="G3" s="67" t="s">
        <v>469</v>
      </c>
      <c r="H3" s="67" t="s">
        <v>470</v>
      </c>
      <c r="I3" s="67" t="s">
        <v>471</v>
      </c>
      <c r="J3" s="67" t="s">
        <v>472</v>
      </c>
      <c r="K3" s="67" t="s">
        <v>473</v>
      </c>
      <c r="L3" s="67" t="s">
        <v>474</v>
      </c>
      <c r="M3" s="67" t="s">
        <v>475</v>
      </c>
      <c r="N3" s="67" t="s">
        <v>476</v>
      </c>
      <c r="O3" s="67" t="s">
        <v>477</v>
      </c>
      <c r="P3" s="67" t="s">
        <v>478</v>
      </c>
      <c r="Q3" s="67" t="s">
        <v>479</v>
      </c>
    </row>
    <row r="4" spans="2:17">
      <c r="B4" s="68">
        <v>3600</v>
      </c>
      <c r="C4" s="69" t="s">
        <v>480</v>
      </c>
      <c r="D4" s="69"/>
      <c r="E4" s="69"/>
      <c r="F4" s="70">
        <v>100</v>
      </c>
      <c r="G4" s="70">
        <v>50</v>
      </c>
      <c r="H4" s="70">
        <v>50</v>
      </c>
      <c r="I4" s="70"/>
      <c r="J4" s="70"/>
      <c r="K4" s="70"/>
      <c r="L4" s="70"/>
      <c r="M4" s="70"/>
      <c r="N4" s="70"/>
      <c r="O4" s="70"/>
      <c r="P4" s="70"/>
      <c r="Q4" s="70"/>
    </row>
    <row r="5" spans="2:17">
      <c r="B5" s="68">
        <v>3800</v>
      </c>
      <c r="C5" s="69" t="s">
        <v>481</v>
      </c>
      <c r="D5" s="69"/>
      <c r="E5" s="69"/>
      <c r="F5" s="70"/>
      <c r="G5" s="70"/>
      <c r="H5" s="70"/>
      <c r="I5" s="70">
        <v>2000</v>
      </c>
      <c r="J5" s="70"/>
      <c r="K5" s="70"/>
      <c r="L5" s="70"/>
      <c r="M5" s="70"/>
      <c r="N5" s="70"/>
      <c r="O5" s="70"/>
      <c r="P5" s="70"/>
      <c r="Q5" s="70"/>
    </row>
    <row r="6" spans="2:17">
      <c r="B6" s="68"/>
      <c r="C6" s="69"/>
      <c r="D6" s="69"/>
      <c r="E6" s="69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</row>
    <row r="7" spans="2:17">
      <c r="B7" s="68"/>
      <c r="C7" s="69"/>
      <c r="D7" s="69"/>
      <c r="E7" s="69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</row>
    <row r="8" spans="2:17">
      <c r="B8" s="68"/>
      <c r="C8" s="69"/>
      <c r="D8" s="69"/>
      <c r="E8" s="69"/>
      <c r="F8" s="70"/>
      <c r="G8" s="70"/>
      <c r="H8" s="70"/>
      <c r="I8" s="70"/>
      <c r="J8" s="70"/>
      <c r="K8" s="70"/>
      <c r="L8" s="70"/>
      <c r="M8" s="70"/>
      <c r="N8" s="70"/>
      <c r="O8" s="70"/>
      <c r="P8" s="70"/>
      <c r="Q8" s="70"/>
    </row>
    <row r="9" spans="2:17">
      <c r="B9" s="68"/>
      <c r="C9" s="69"/>
      <c r="D9" s="69"/>
      <c r="E9" s="69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</row>
    <row r="10" spans="2:17">
      <c r="B10" s="68"/>
      <c r="C10" s="69"/>
      <c r="D10" s="69"/>
      <c r="E10" s="69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</row>
    <row r="11" spans="2:17">
      <c r="B11" s="68"/>
      <c r="C11" s="69"/>
      <c r="D11" s="69"/>
      <c r="E11" s="69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</row>
    <row r="12" spans="2:17">
      <c r="B12" s="68"/>
      <c r="C12" s="69"/>
      <c r="D12" s="69"/>
      <c r="E12" s="69"/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</row>
    <row r="13" spans="2:17">
      <c r="B13" s="68"/>
      <c r="C13" s="69"/>
      <c r="D13" s="69"/>
      <c r="E13" s="69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</row>
    <row r="14" spans="2:17">
      <c r="B14" s="68"/>
      <c r="C14" s="69"/>
      <c r="D14" s="69"/>
      <c r="E14" s="69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</row>
    <row r="15" spans="2:17">
      <c r="B15" s="68"/>
      <c r="C15" s="69"/>
      <c r="D15" s="69"/>
      <c r="E15" s="69"/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</row>
    <row r="16" spans="2:17">
      <c r="B16" s="68"/>
      <c r="C16" s="69"/>
      <c r="D16" s="69"/>
      <c r="E16" s="69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</row>
    <row r="17" spans="2:17">
      <c r="B17" s="68"/>
      <c r="C17" s="69"/>
      <c r="D17" s="69"/>
      <c r="E17" s="69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</row>
    <row r="18" spans="2:17">
      <c r="B18" s="68"/>
      <c r="C18" s="69"/>
      <c r="D18" s="69"/>
      <c r="E18" s="69"/>
      <c r="F18" s="70"/>
      <c r="G18" s="70"/>
      <c r="H18" s="70"/>
      <c r="I18" s="70"/>
      <c r="J18" s="70"/>
      <c r="K18" s="70"/>
      <c r="L18" s="70"/>
      <c r="M18" s="70"/>
      <c r="N18" s="70"/>
      <c r="O18" s="70"/>
      <c r="P18" s="70"/>
      <c r="Q18" s="70"/>
    </row>
    <row r="19" spans="2:17">
      <c r="B19" s="68"/>
      <c r="C19" s="69"/>
      <c r="D19" s="69"/>
      <c r="E19" s="69"/>
      <c r="F19" s="70"/>
      <c r="G19" s="70"/>
      <c r="H19" s="70"/>
      <c r="I19" s="70"/>
      <c r="J19" s="70"/>
      <c r="K19" s="70"/>
      <c r="L19" s="70"/>
      <c r="M19" s="70"/>
      <c r="N19" s="70"/>
      <c r="O19" s="70"/>
      <c r="P19" s="70"/>
      <c r="Q19" s="70"/>
    </row>
    <row r="20" spans="2:17">
      <c r="B20" s="68"/>
      <c r="C20" s="69"/>
      <c r="D20" s="69"/>
      <c r="E20" s="69"/>
      <c r="F20" s="70"/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70"/>
    </row>
    <row r="21" spans="2:17">
      <c r="B21" s="68"/>
      <c r="C21" s="69"/>
      <c r="D21" s="69"/>
      <c r="E21" s="69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0"/>
    </row>
    <row r="22" spans="2:17">
      <c r="B22" s="68"/>
      <c r="C22" s="69"/>
      <c r="D22" s="69"/>
      <c r="E22" s="69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</row>
    <row r="23" spans="2:17">
      <c r="B23" s="68"/>
      <c r="C23" s="69"/>
      <c r="D23" s="69"/>
      <c r="E23" s="69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70"/>
    </row>
    <row r="24" spans="2:17">
      <c r="B24" s="68"/>
      <c r="C24" s="69"/>
      <c r="D24" s="69"/>
      <c r="E24" s="69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</row>
    <row r="25" spans="2:17">
      <c r="B25" s="68"/>
      <c r="C25" s="69"/>
      <c r="D25" s="69"/>
      <c r="E25" s="69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</row>
    <row r="26" spans="2:17">
      <c r="B26" s="68"/>
      <c r="C26" s="69"/>
      <c r="D26" s="69"/>
      <c r="E26" s="69"/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70"/>
    </row>
    <row r="27" spans="2:17">
      <c r="B27" s="68"/>
      <c r="C27" s="69"/>
      <c r="D27" s="69"/>
      <c r="E27" s="69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</row>
    <row r="28" spans="2:17">
      <c r="B28" s="68"/>
      <c r="C28" s="69"/>
      <c r="D28" s="69"/>
      <c r="E28" s="69"/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</row>
    <row r="29" spans="2:17">
      <c r="B29" s="68"/>
      <c r="C29" s="69"/>
      <c r="D29" s="69"/>
      <c r="E29" s="69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</row>
    <row r="30" spans="2:17" ht="18.75">
      <c r="B30" s="71">
        <f>SUM(B4:B29)</f>
        <v>7400</v>
      </c>
      <c r="C30" s="72" t="s">
        <v>482</v>
      </c>
      <c r="D30" s="72"/>
      <c r="E30" s="72"/>
      <c r="F30" s="73">
        <f t="shared" ref="F30:Q30" si="0">SUM(F4:F29)</f>
        <v>100</v>
      </c>
      <c r="G30" s="73">
        <f t="shared" si="0"/>
        <v>50</v>
      </c>
      <c r="H30" s="73">
        <f t="shared" si="0"/>
        <v>50</v>
      </c>
      <c r="I30" s="74">
        <f t="shared" si="0"/>
        <v>2000</v>
      </c>
      <c r="J30" s="74">
        <f t="shared" si="0"/>
        <v>0</v>
      </c>
      <c r="K30" s="73">
        <f t="shared" si="0"/>
        <v>0</v>
      </c>
      <c r="L30" s="73">
        <f t="shared" si="0"/>
        <v>0</v>
      </c>
      <c r="M30" s="73">
        <f t="shared" si="0"/>
        <v>0</v>
      </c>
      <c r="N30" s="74">
        <f t="shared" si="0"/>
        <v>0</v>
      </c>
      <c r="O30" s="74">
        <f t="shared" si="0"/>
        <v>0</v>
      </c>
      <c r="P30" s="73">
        <f t="shared" si="0"/>
        <v>0</v>
      </c>
      <c r="Q30" s="73">
        <f t="shared" si="0"/>
        <v>0</v>
      </c>
    </row>
    <row r="31" spans="2:17" ht="18.75">
      <c r="C31" s="72" t="s">
        <v>483</v>
      </c>
    </row>
  </sheetData>
  <mergeCells count="9">
    <mergeCell ref="P2:Q2"/>
    <mergeCell ref="D2:D3"/>
    <mergeCell ref="E2:E3"/>
    <mergeCell ref="B2:B3"/>
    <mergeCell ref="C2:C3"/>
    <mergeCell ref="F2:H2"/>
    <mergeCell ref="I2:J2"/>
    <mergeCell ref="K2:M2"/>
    <mergeCell ref="N2:O2"/>
  </mergeCells>
  <phoneticPr fontId="1" type="noConversion"/>
  <conditionalFormatting sqref="C4:Q29">
    <cfRule type="expression" dxfId="0" priority="1">
      <formula>IF(MOD(ROW()-1,2)=0,TRUE,FALSE)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B81"/>
  <sheetViews>
    <sheetView workbookViewId="0">
      <pane xSplit="1" topLeftCell="B1" activePane="topRight" state="frozen"/>
      <selection pane="topRight" activeCell="AB2" sqref="AB2"/>
    </sheetView>
  </sheetViews>
  <sheetFormatPr defaultRowHeight="15.75"/>
  <cols>
    <col min="1" max="1" width="11.5" style="4" bestFit="1" customWidth="1"/>
    <col min="2" max="2" width="15" style="4" bestFit="1" customWidth="1"/>
    <col min="3" max="3" width="5.75" style="4" bestFit="1" customWidth="1"/>
    <col min="4" max="4" width="11.875" style="4" bestFit="1" customWidth="1"/>
    <col min="5" max="5" width="11.75" style="4" bestFit="1" customWidth="1"/>
    <col min="6" max="6" width="9.875" style="4" bestFit="1" customWidth="1"/>
    <col min="7" max="7" width="5.75" style="4" bestFit="1" customWidth="1"/>
    <col min="8" max="8" width="10.625" style="4" bestFit="1" customWidth="1"/>
    <col min="9" max="9" width="11.75" style="4" bestFit="1" customWidth="1"/>
    <col min="10" max="10" width="9.875" style="4" bestFit="1" customWidth="1"/>
    <col min="11" max="11" width="5.75" style="4" bestFit="1" customWidth="1"/>
    <col min="12" max="12" width="14.125" style="4" bestFit="1" customWidth="1"/>
    <col min="13" max="14" width="11.75" style="4" bestFit="1" customWidth="1"/>
    <col min="15" max="15" width="5.75" style="4" bestFit="1" customWidth="1"/>
    <col min="16" max="16" width="15.125" style="4" bestFit="1" customWidth="1"/>
    <col min="17" max="18" width="12.875" style="4" bestFit="1" customWidth="1"/>
    <col min="19" max="19" width="5.75" style="4" bestFit="1" customWidth="1"/>
    <col min="20" max="20" width="11.875" style="4" bestFit="1" customWidth="1"/>
    <col min="21" max="21" width="11.75" style="4" bestFit="1" customWidth="1"/>
    <col min="22" max="22" width="9.875" style="4" bestFit="1" customWidth="1"/>
    <col min="23" max="23" width="5.75" style="4" bestFit="1" customWidth="1"/>
    <col min="24" max="24" width="15.125" style="4" bestFit="1" customWidth="1"/>
    <col min="25" max="26" width="12.875" style="4" hidden="1" customWidth="1"/>
    <col min="27" max="27" width="0" style="4" hidden="1" customWidth="1"/>
    <col min="28" max="16384" width="9" style="4"/>
  </cols>
  <sheetData>
    <row r="1" spans="1:28">
      <c r="A1" s="4" t="s">
        <v>484</v>
      </c>
      <c r="C1" s="308" t="s">
        <v>485</v>
      </c>
      <c r="D1" s="308"/>
      <c r="E1" s="308"/>
      <c r="F1" s="308"/>
      <c r="G1" s="308" t="s">
        <v>486</v>
      </c>
      <c r="H1" s="308"/>
      <c r="I1" s="308"/>
      <c r="J1" s="308"/>
      <c r="K1" s="308" t="s">
        <v>487</v>
      </c>
      <c r="L1" s="308"/>
      <c r="M1" s="308"/>
      <c r="N1" s="308"/>
      <c r="O1" s="308" t="s">
        <v>487</v>
      </c>
      <c r="P1" s="308"/>
      <c r="Q1" s="308"/>
      <c r="R1" s="308"/>
      <c r="S1" s="308" t="s">
        <v>488</v>
      </c>
      <c r="T1" s="308"/>
      <c r="U1" s="308"/>
      <c r="V1" s="308"/>
      <c r="W1" s="308" t="s">
        <v>489</v>
      </c>
      <c r="X1" s="308"/>
      <c r="Y1" s="308"/>
      <c r="Z1" s="308"/>
    </row>
    <row r="2" spans="1:28">
      <c r="A2" s="4" t="s">
        <v>490</v>
      </c>
      <c r="C2" s="308">
        <v>72230</v>
      </c>
      <c r="D2" s="308"/>
      <c r="E2" s="308"/>
      <c r="F2" s="308"/>
      <c r="G2" s="308">
        <v>7887</v>
      </c>
      <c r="H2" s="308"/>
      <c r="I2" s="308"/>
      <c r="J2" s="308"/>
      <c r="K2" s="308">
        <v>252574</v>
      </c>
      <c r="L2" s="308"/>
      <c r="M2" s="308"/>
      <c r="N2" s="308"/>
      <c r="O2" s="308">
        <v>1459626</v>
      </c>
      <c r="P2" s="308"/>
      <c r="Q2" s="308"/>
      <c r="R2" s="308"/>
      <c r="S2" s="308">
        <v>31553</v>
      </c>
      <c r="T2" s="308"/>
      <c r="U2" s="308"/>
      <c r="V2" s="308"/>
      <c r="W2" s="310">
        <f>D11+L11+P11+T11</f>
        <v>1642107.7629995162</v>
      </c>
      <c r="X2" s="308"/>
      <c r="Y2" s="308"/>
      <c r="Z2" s="308"/>
    </row>
    <row r="3" spans="1:28">
      <c r="A3" s="4" t="s">
        <v>491</v>
      </c>
      <c r="C3" s="311">
        <v>0.16070000000000001</v>
      </c>
      <c r="D3" s="311"/>
      <c r="E3" s="311"/>
      <c r="F3" s="311"/>
      <c r="G3" s="309">
        <v>0.15890000000000001</v>
      </c>
      <c r="H3" s="309"/>
      <c r="I3" s="309"/>
      <c r="J3" s="309"/>
      <c r="K3" s="311">
        <v>0.14779999999999999</v>
      </c>
      <c r="L3" s="311"/>
      <c r="M3" s="311"/>
      <c r="N3" s="311"/>
      <c r="O3" s="311">
        <v>0.14779999999999999</v>
      </c>
      <c r="P3" s="311"/>
      <c r="Q3" s="311"/>
      <c r="R3" s="311"/>
      <c r="S3" s="311">
        <v>5.9900000000000002E-2</v>
      </c>
      <c r="T3" s="311"/>
      <c r="U3" s="311"/>
      <c r="V3" s="311"/>
      <c r="W3" s="311">
        <v>0.14779999999999999</v>
      </c>
      <c r="X3" s="311"/>
      <c r="Y3" s="311"/>
      <c r="Z3" s="311"/>
    </row>
    <row r="4" spans="1:28">
      <c r="A4" s="4" t="s">
        <v>492</v>
      </c>
      <c r="C4" s="308">
        <v>12</v>
      </c>
      <c r="D4" s="308"/>
      <c r="E4" s="308"/>
      <c r="F4" s="308"/>
      <c r="G4" s="308">
        <v>4</v>
      </c>
      <c r="H4" s="308"/>
      <c r="I4" s="308"/>
      <c r="J4" s="308"/>
      <c r="K4" s="308">
        <v>74</v>
      </c>
      <c r="L4" s="308"/>
      <c r="M4" s="308"/>
      <c r="N4" s="308"/>
      <c r="O4" s="308">
        <v>74</v>
      </c>
      <c r="P4" s="308"/>
      <c r="Q4" s="308"/>
      <c r="R4" s="308"/>
      <c r="S4" s="308">
        <v>22</v>
      </c>
      <c r="T4" s="308"/>
      <c r="U4" s="308"/>
      <c r="V4" s="308"/>
      <c r="W4" s="308">
        <v>72</v>
      </c>
      <c r="X4" s="308"/>
      <c r="Y4" s="308"/>
      <c r="Z4" s="308"/>
    </row>
    <row r="5" spans="1:28">
      <c r="A5" s="4" t="s">
        <v>493</v>
      </c>
      <c r="C5" s="310">
        <f>PMT(C3/12,C4,C2)</f>
        <v>-6555.8827505591453</v>
      </c>
      <c r="D5" s="310"/>
      <c r="E5" s="310"/>
      <c r="F5" s="310"/>
      <c r="G5" s="310">
        <f>PMT(G3/12,G4,G2)</f>
        <v>-2037.4524458956992</v>
      </c>
      <c r="H5" s="310"/>
      <c r="I5" s="310"/>
      <c r="J5" s="310"/>
      <c r="K5" s="310">
        <f>PMT(K3/12,K4,K2)</f>
        <v>-5221.2592465475027</v>
      </c>
      <c r="L5" s="310"/>
      <c r="M5" s="310"/>
      <c r="N5" s="310"/>
      <c r="O5" s="310">
        <f>PMT(O3/12,O4,O2)</f>
        <v>-30173.674839853451</v>
      </c>
      <c r="P5" s="310"/>
      <c r="Q5" s="310"/>
      <c r="R5" s="310"/>
      <c r="S5" s="310">
        <f>PMT(S3/12,S4,S2)</f>
        <v>-1517.9924131607418</v>
      </c>
      <c r="T5" s="310"/>
      <c r="U5" s="310"/>
      <c r="V5" s="310"/>
      <c r="W5" s="310">
        <f>PMT(W3/12,W4,W2)</f>
        <v>-34526.501212940493</v>
      </c>
      <c r="X5" s="310"/>
      <c r="Y5" s="310"/>
      <c r="Z5" s="310"/>
    </row>
    <row r="7" spans="1:28">
      <c r="B7" s="4" t="s">
        <v>494</v>
      </c>
      <c r="C7" s="4" t="s">
        <v>492</v>
      </c>
      <c r="D7" s="4" t="s">
        <v>495</v>
      </c>
      <c r="E7" s="4" t="s">
        <v>496</v>
      </c>
      <c r="F7" s="4" t="s">
        <v>497</v>
      </c>
      <c r="G7" s="4" t="s">
        <v>492</v>
      </c>
      <c r="H7" s="4" t="s">
        <v>495</v>
      </c>
      <c r="I7" s="4" t="s">
        <v>496</v>
      </c>
      <c r="J7" s="4" t="s">
        <v>497</v>
      </c>
      <c r="K7" s="4" t="s">
        <v>492</v>
      </c>
      <c r="L7" s="4" t="s">
        <v>495</v>
      </c>
      <c r="M7" s="4" t="s">
        <v>496</v>
      </c>
      <c r="N7" s="4" t="s">
        <v>497</v>
      </c>
      <c r="O7" s="4" t="s">
        <v>492</v>
      </c>
      <c r="P7" s="4" t="s">
        <v>495</v>
      </c>
      <c r="Q7" s="4" t="s">
        <v>496</v>
      </c>
      <c r="R7" s="4" t="s">
        <v>497</v>
      </c>
      <c r="S7" s="4" t="s">
        <v>492</v>
      </c>
      <c r="T7" s="4" t="s">
        <v>495</v>
      </c>
      <c r="U7" s="4" t="s">
        <v>496</v>
      </c>
      <c r="V7" s="4" t="s">
        <v>497</v>
      </c>
      <c r="W7" s="4" t="s">
        <v>492</v>
      </c>
      <c r="X7" s="4" t="s">
        <v>495</v>
      </c>
      <c r="Y7" s="4" t="s">
        <v>496</v>
      </c>
      <c r="Z7" s="4" t="s">
        <v>497</v>
      </c>
    </row>
    <row r="8" spans="1:28" s="75" customFormat="1">
      <c r="A8" s="76">
        <v>45870</v>
      </c>
      <c r="B8" s="230">
        <f>D8+H8+L8+P8+T8</f>
        <v>1778363.7383039831</v>
      </c>
      <c r="C8" s="75">
        <v>1</v>
      </c>
      <c r="D8" s="230">
        <f>C2+C5</f>
        <v>65674.117249440853</v>
      </c>
      <c r="E8" s="230">
        <f>PPMT($C$3/12,C8,$C$4,$C$2)</f>
        <v>-5588.6026672258122</v>
      </c>
      <c r="F8" s="230">
        <f>IPMT($C$3/12,C8,$C$4,$C$2)</f>
        <v>-967.28008333333344</v>
      </c>
      <c r="G8" s="75">
        <v>1</v>
      </c>
      <c r="H8" s="230">
        <f>G2+G5</f>
        <v>5849.5475541043006</v>
      </c>
      <c r="I8" s="230">
        <f>PPMT($G$3/12,G8,$G$4,$G$2)</f>
        <v>-1933.015420895699</v>
      </c>
      <c r="J8" s="230">
        <f>IPMT($G$3/12,G8,$G$4,$G$2)</f>
        <v>-104.43702500000001</v>
      </c>
      <c r="K8" s="75">
        <v>1</v>
      </c>
      <c r="L8" s="230">
        <f>K2+K5</f>
        <v>247352.7407534525</v>
      </c>
      <c r="M8" s="230">
        <f>PPMT($K$3/12,K8,$K$4,$K$2)</f>
        <v>-2110.3894798808365</v>
      </c>
      <c r="N8" s="230">
        <f>IPMT($K$3/12,K8,$K$4,$K$2)</f>
        <v>-3110.8697666666662</v>
      </c>
      <c r="O8" s="75">
        <v>1</v>
      </c>
      <c r="P8" s="230">
        <f>O2+O5</f>
        <v>1429452.3251601465</v>
      </c>
      <c r="Q8" s="230">
        <f>PPMT($O$3/12,O8,$O$4,$O$2)</f>
        <v>-12195.947939853455</v>
      </c>
      <c r="R8" s="230">
        <f>IPMT($O$3/12,O8,$O$4,$O$2)</f>
        <v>-17977.726899999998</v>
      </c>
      <c r="S8" s="75">
        <v>1</v>
      </c>
      <c r="T8" s="230">
        <f>S2+S5</f>
        <v>30035.00758683926</v>
      </c>
      <c r="U8" s="230">
        <f>PPMT($S$3/12,S8,$S$4,$S$2)</f>
        <v>-1360.4903548274085</v>
      </c>
      <c r="V8" s="230">
        <f>IPMT($S$3/12,S8,$S$4,$S$2)</f>
        <v>-157.50205833333334</v>
      </c>
      <c r="W8" s="75">
        <v>1</v>
      </c>
      <c r="X8" s="230">
        <f>W2+W5</f>
        <v>1607581.2617865757</v>
      </c>
      <c r="Y8" s="230">
        <f>PPMT($O$3/12,W8,$O$4,$O$2)</f>
        <v>-12195.947939853455</v>
      </c>
      <c r="Z8" s="230">
        <f>IPMT($O$3/12,W8,$O$4,$O$2)</f>
        <v>-17977.726899999998</v>
      </c>
      <c r="AA8" s="75">
        <v>56</v>
      </c>
      <c r="AB8" s="75">
        <f t="shared" ref="AB8:AB39" si="0">23128*AA8</f>
        <v>1295168</v>
      </c>
    </row>
    <row r="9" spans="1:28" s="75" customFormat="1">
      <c r="A9" s="76">
        <f>EDATE(A8,1)</f>
        <v>45901</v>
      </c>
      <c r="B9" s="230">
        <f t="shared" ref="B9:B72" si="1">D9+H9+L9+P9+T9</f>
        <v>1732857.4766079667</v>
      </c>
      <c r="C9" s="75">
        <v>2</v>
      </c>
      <c r="D9" s="230">
        <f>D8+$C$5</f>
        <v>59118.234498881706</v>
      </c>
      <c r="E9" s="230">
        <f t="shared" ref="E9:E19" si="2">PPMT($C$3/12,C9,$C$4,$C$2)</f>
        <v>-5663.4433712777445</v>
      </c>
      <c r="F9" s="230">
        <f t="shared" ref="F9:F19" si="3">IPMT($C$3/12,C9,$C$4,$C$2)</f>
        <v>-892.43937928140099</v>
      </c>
      <c r="G9" s="75">
        <v>2</v>
      </c>
      <c r="H9" s="230">
        <f>H8+$G$5</f>
        <v>3812.0951082086012</v>
      </c>
      <c r="I9" s="230">
        <f t="shared" ref="I9:I11" si="4">PPMT($G$3/12,G9,$G$4,$G$2)</f>
        <v>-1958.6117667607261</v>
      </c>
      <c r="J9" s="230">
        <f t="shared" ref="J9:J11" si="5">IPMT($G$3/12,G9,$G$4,$G$2)</f>
        <v>-78.840679134972788</v>
      </c>
      <c r="K9" s="75">
        <v>2</v>
      </c>
      <c r="L9" s="230">
        <f>L8+$K$5</f>
        <v>242131.48150690499</v>
      </c>
      <c r="M9" s="230">
        <f t="shared" ref="M9:M72" si="6">IPMT($K$3/12,K9,$K$4,$K$2)</f>
        <v>-3084.8768029061339</v>
      </c>
      <c r="N9" s="230">
        <f t="shared" ref="N9:N72" si="7">IPMT($K$3/12,K9,$K$4,$K$2)</f>
        <v>-3084.8768029061339</v>
      </c>
      <c r="O9" s="75">
        <v>2</v>
      </c>
      <c r="P9" s="230">
        <f>P8+$O$5</f>
        <v>1399278.6503202929</v>
      </c>
      <c r="Q9" s="230">
        <f t="shared" ref="Q9:Q72" si="8">PPMT($O$3/12,O9,$O$4,$O$2)</f>
        <v>-12346.16136531265</v>
      </c>
      <c r="R9" s="230">
        <f t="shared" ref="R9:R72" si="9">IPMT($O$3/12,O9,$O$4,$O$2)</f>
        <v>-17827.513474540807</v>
      </c>
      <c r="S9" s="75">
        <v>2</v>
      </c>
      <c r="T9" s="230">
        <f>T8+$S$5</f>
        <v>28517.015173678519</v>
      </c>
      <c r="U9" s="230">
        <f t="shared" ref="U9:U29" si="10">PPMT($S$3/12,S9,$S$4,$S$2)</f>
        <v>-1367.2814691819217</v>
      </c>
      <c r="V9" s="230">
        <f t="shared" ref="V9:V29" si="11">IPMT($S$3/12,S9,$S$4,$S$2)</f>
        <v>-150.71094397881987</v>
      </c>
      <c r="W9" s="75">
        <v>2</v>
      </c>
      <c r="X9" s="230">
        <f>X8+$O$5</f>
        <v>1577407.5869467221</v>
      </c>
      <c r="Y9" s="230">
        <f t="shared" ref="Y9:Y72" si="12">PPMT($O$3/12,W9,$O$4,$O$2)</f>
        <v>-12346.16136531265</v>
      </c>
      <c r="Z9" s="230">
        <f t="shared" ref="Z9:Z72" si="13">IPMT($O$3/12,W9,$O$4,$O$2)</f>
        <v>-17827.513474540807</v>
      </c>
      <c r="AA9" s="75">
        <f t="shared" ref="AA9:AA40" si="14">AA8-1</f>
        <v>55</v>
      </c>
      <c r="AB9" s="75">
        <f t="shared" si="0"/>
        <v>1272040</v>
      </c>
    </row>
    <row r="10" spans="1:28" s="75" customFormat="1">
      <c r="A10" s="76">
        <f t="shared" ref="A10:A73" si="15">EDATE(A9,1)</f>
        <v>45931</v>
      </c>
      <c r="B10" s="230">
        <f t="shared" si="1"/>
        <v>1687351.2149119503</v>
      </c>
      <c r="C10" s="75">
        <v>3</v>
      </c>
      <c r="D10" s="230">
        <f t="shared" ref="D10:D19" si="16">D9+$C$5</f>
        <v>52562.351748322559</v>
      </c>
      <c r="E10" s="230">
        <f t="shared" si="2"/>
        <v>-5739.2863170914388</v>
      </c>
      <c r="F10" s="230">
        <f t="shared" si="3"/>
        <v>-816.59643346770679</v>
      </c>
      <c r="G10" s="75">
        <v>3</v>
      </c>
      <c r="H10" s="230">
        <f t="shared" ref="H10:H11" si="17">H9+$G$5</f>
        <v>1774.6426623129021</v>
      </c>
      <c r="I10" s="230">
        <f t="shared" si="4"/>
        <v>-1984.5470509055829</v>
      </c>
      <c r="J10" s="230">
        <f t="shared" si="5"/>
        <v>-52.905394990116157</v>
      </c>
      <c r="K10" s="75">
        <v>3</v>
      </c>
      <c r="L10" s="230">
        <f t="shared" ref="L10:L73" si="18">L9+$K$5</f>
        <v>236910.22226035749</v>
      </c>
      <c r="M10" s="230">
        <f t="shared" si="6"/>
        <v>-3058.5636924752839</v>
      </c>
      <c r="N10" s="230">
        <f t="shared" si="7"/>
        <v>-3058.5636924752839</v>
      </c>
      <c r="O10" s="75">
        <v>3</v>
      </c>
      <c r="P10" s="230">
        <f t="shared" ref="P10:P73" si="19">P9+$O$5</f>
        <v>1369104.9754804394</v>
      </c>
      <c r="Q10" s="230">
        <f t="shared" si="8"/>
        <v>-12498.224919462085</v>
      </c>
      <c r="R10" s="230">
        <f t="shared" si="9"/>
        <v>-17675.449920391369</v>
      </c>
      <c r="S10" s="75">
        <v>3</v>
      </c>
      <c r="T10" s="230">
        <f>T9+$S$5</f>
        <v>26999.022760517779</v>
      </c>
      <c r="U10" s="230">
        <f t="shared" si="10"/>
        <v>-1374.1064825155884</v>
      </c>
      <c r="V10" s="230">
        <f t="shared" si="11"/>
        <v>-143.88593064515342</v>
      </c>
      <c r="W10" s="75">
        <v>3</v>
      </c>
      <c r="X10" s="230">
        <f t="shared" ref="X10:X73" si="20">X9+$O$5</f>
        <v>1547233.9121068686</v>
      </c>
      <c r="Y10" s="230">
        <f t="shared" si="12"/>
        <v>-12498.224919462085</v>
      </c>
      <c r="Z10" s="230">
        <f t="shared" si="13"/>
        <v>-17675.449920391369</v>
      </c>
      <c r="AA10" s="75">
        <f t="shared" si="14"/>
        <v>54</v>
      </c>
      <c r="AB10" s="75">
        <f t="shared" si="0"/>
        <v>1248912</v>
      </c>
    </row>
    <row r="11" spans="1:28" s="75" customFormat="1">
      <c r="A11" s="76">
        <f t="shared" si="15"/>
        <v>45962</v>
      </c>
      <c r="B11" s="230">
        <f t="shared" si="1"/>
        <v>1641844.9532159334</v>
      </c>
      <c r="C11" s="75">
        <v>4</v>
      </c>
      <c r="D11" s="230">
        <f t="shared" si="16"/>
        <v>46006.468997763412</v>
      </c>
      <c r="E11" s="230">
        <f t="shared" si="2"/>
        <v>-5816.1449263544873</v>
      </c>
      <c r="F11" s="230">
        <f t="shared" si="3"/>
        <v>-739.73782420465716</v>
      </c>
      <c r="G11" s="75">
        <v>4</v>
      </c>
      <c r="H11" s="230">
        <f t="shared" si="17"/>
        <v>-262.80978358279708</v>
      </c>
      <c r="I11" s="230">
        <f t="shared" si="4"/>
        <v>-2010.8257614379909</v>
      </c>
      <c r="J11" s="230">
        <f t="shared" si="5"/>
        <v>-26.62668445770807</v>
      </c>
      <c r="K11" s="75">
        <v>4</v>
      </c>
      <c r="L11" s="230">
        <f t="shared" si="18"/>
        <v>231688.96301380999</v>
      </c>
      <c r="M11" s="230">
        <f t="shared" si="6"/>
        <v>-3031.9264922342945</v>
      </c>
      <c r="N11" s="230">
        <f t="shared" si="7"/>
        <v>-3031.9264922342945</v>
      </c>
      <c r="O11" s="75">
        <v>4</v>
      </c>
      <c r="P11" s="230">
        <f t="shared" si="19"/>
        <v>1338931.3006405858</v>
      </c>
      <c r="Q11" s="230">
        <f t="shared" si="8"/>
        <v>-12652.161389720124</v>
      </c>
      <c r="R11" s="230">
        <f t="shared" si="9"/>
        <v>-17521.513450133327</v>
      </c>
      <c r="S11" s="75">
        <v>4</v>
      </c>
      <c r="T11" s="230">
        <f t="shared" ref="T11:T29" si="21">T10+$S$5</f>
        <v>25481.030347357038</v>
      </c>
      <c r="U11" s="230">
        <f t="shared" si="10"/>
        <v>-1380.9655640408118</v>
      </c>
      <c r="V11" s="230">
        <f t="shared" si="11"/>
        <v>-137.02684911992978</v>
      </c>
      <c r="W11" s="75">
        <v>4</v>
      </c>
      <c r="X11" s="230">
        <f t="shared" si="20"/>
        <v>1517060.237267015</v>
      </c>
      <c r="Y11" s="230">
        <f t="shared" si="12"/>
        <v>-12652.161389720124</v>
      </c>
      <c r="Z11" s="230">
        <f t="shared" si="13"/>
        <v>-17521.513450133327</v>
      </c>
      <c r="AA11" s="75">
        <f t="shared" si="14"/>
        <v>53</v>
      </c>
      <c r="AB11" s="75">
        <f t="shared" si="0"/>
        <v>1225784</v>
      </c>
    </row>
    <row r="12" spans="1:28" s="75" customFormat="1">
      <c r="A12" s="76">
        <f t="shared" si="15"/>
        <v>45992</v>
      </c>
      <c r="B12" s="230">
        <f t="shared" si="1"/>
        <v>1598638.9537493954</v>
      </c>
      <c r="C12" s="75">
        <v>5</v>
      </c>
      <c r="D12" s="230">
        <f t="shared" si="16"/>
        <v>39450.586247204265</v>
      </c>
      <c r="E12" s="230">
        <f t="shared" si="2"/>
        <v>-5894.0328004932517</v>
      </c>
      <c r="F12" s="230">
        <f t="shared" si="3"/>
        <v>-661.84995006589327</v>
      </c>
      <c r="K12" s="75">
        <v>5</v>
      </c>
      <c r="L12" s="230">
        <f t="shared" si="18"/>
        <v>226467.70376726249</v>
      </c>
      <c r="M12" s="230">
        <f t="shared" si="6"/>
        <v>-3004.9612104770035</v>
      </c>
      <c r="N12" s="230">
        <f t="shared" si="7"/>
        <v>-3004.9612104770035</v>
      </c>
      <c r="O12" s="75">
        <v>5</v>
      </c>
      <c r="P12" s="230">
        <f t="shared" si="19"/>
        <v>1308757.6258007323</v>
      </c>
      <c r="Q12" s="230">
        <f t="shared" si="8"/>
        <v>-12807.993844170178</v>
      </c>
      <c r="R12" s="230">
        <f t="shared" si="9"/>
        <v>-17365.680995683273</v>
      </c>
      <c r="S12" s="75">
        <v>5</v>
      </c>
      <c r="T12" s="230">
        <f t="shared" si="21"/>
        <v>23963.037934196298</v>
      </c>
      <c r="U12" s="230">
        <f t="shared" si="10"/>
        <v>-1387.8588838146491</v>
      </c>
      <c r="V12" s="230">
        <f t="shared" si="11"/>
        <v>-130.13352934609273</v>
      </c>
      <c r="W12" s="75">
        <v>5</v>
      </c>
      <c r="X12" s="230">
        <f t="shared" si="20"/>
        <v>1486886.5624271615</v>
      </c>
      <c r="Y12" s="230">
        <f t="shared" si="12"/>
        <v>-12807.993844170178</v>
      </c>
      <c r="Z12" s="230">
        <f t="shared" si="13"/>
        <v>-17365.680995683273</v>
      </c>
      <c r="AA12" s="75">
        <f t="shared" si="14"/>
        <v>52</v>
      </c>
      <c r="AB12" s="75">
        <f t="shared" si="0"/>
        <v>1202656</v>
      </c>
    </row>
    <row r="13" spans="1:28" s="75" customFormat="1">
      <c r="A13" s="76">
        <f t="shared" si="15"/>
        <v>46023</v>
      </c>
      <c r="B13" s="230">
        <f t="shared" si="1"/>
        <v>1555170.1444992744</v>
      </c>
      <c r="C13" s="75">
        <v>6</v>
      </c>
      <c r="D13" s="230">
        <f t="shared" si="16"/>
        <v>32894.703496645117</v>
      </c>
      <c r="E13" s="230">
        <f t="shared" si="2"/>
        <v>-5972.9637230798571</v>
      </c>
      <c r="F13" s="230">
        <f t="shared" si="3"/>
        <v>-582.91902747928771</v>
      </c>
      <c r="K13" s="75">
        <v>6</v>
      </c>
      <c r="L13" s="230">
        <f t="shared" si="18"/>
        <v>221246.44452071498</v>
      </c>
      <c r="M13" s="230">
        <f t="shared" si="6"/>
        <v>-2977.6638063327346</v>
      </c>
      <c r="N13" s="230">
        <f t="shared" si="7"/>
        <v>-2977.6638063327346</v>
      </c>
      <c r="O13" s="75">
        <v>6</v>
      </c>
      <c r="P13" s="230">
        <f t="shared" si="19"/>
        <v>1278583.9509608787</v>
      </c>
      <c r="Q13" s="230">
        <f t="shared" si="8"/>
        <v>-12965.745635017542</v>
      </c>
      <c r="R13" s="230">
        <f t="shared" si="9"/>
        <v>-17207.929204835909</v>
      </c>
      <c r="S13" s="75">
        <v>6</v>
      </c>
      <c r="T13" s="230">
        <f t="shared" si="21"/>
        <v>22445.045521035558</v>
      </c>
      <c r="U13" s="230">
        <f t="shared" si="10"/>
        <v>-1394.7866127430239</v>
      </c>
      <c r="V13" s="230">
        <f t="shared" si="11"/>
        <v>-123.20580041771795</v>
      </c>
      <c r="W13" s="75">
        <v>6</v>
      </c>
      <c r="X13" s="230">
        <f t="shared" si="20"/>
        <v>1456712.887587308</v>
      </c>
      <c r="Y13" s="230">
        <f t="shared" si="12"/>
        <v>-12965.745635017542</v>
      </c>
      <c r="Z13" s="230">
        <f t="shared" si="13"/>
        <v>-17207.929204835909</v>
      </c>
      <c r="AA13" s="75">
        <f t="shared" si="14"/>
        <v>51</v>
      </c>
      <c r="AB13" s="75">
        <f t="shared" si="0"/>
        <v>1179528</v>
      </c>
    </row>
    <row r="14" spans="1:28" s="75" customFormat="1">
      <c r="A14" s="76">
        <f t="shared" si="15"/>
        <v>46054</v>
      </c>
      <c r="B14" s="230">
        <f t="shared" si="1"/>
        <v>1511701.3352491534</v>
      </c>
      <c r="C14" s="75">
        <v>7</v>
      </c>
      <c r="D14" s="230">
        <f t="shared" si="16"/>
        <v>26338.82074608597</v>
      </c>
      <c r="E14" s="230">
        <f t="shared" si="2"/>
        <v>-6052.9516622714355</v>
      </c>
      <c r="F14" s="230">
        <f t="shared" si="3"/>
        <v>-502.93108828770994</v>
      </c>
      <c r="K14" s="75">
        <v>7</v>
      </c>
      <c r="L14" s="230">
        <f t="shared" si="18"/>
        <v>216025.18527416748</v>
      </c>
      <c r="M14" s="230">
        <f t="shared" si="6"/>
        <v>-2950.0301891607569</v>
      </c>
      <c r="N14" s="230">
        <f t="shared" si="7"/>
        <v>-2950.0301891607569</v>
      </c>
      <c r="O14" s="75">
        <v>7</v>
      </c>
      <c r="P14" s="230">
        <f t="shared" si="19"/>
        <v>1248410.2761210252</v>
      </c>
      <c r="Q14" s="230">
        <f t="shared" si="8"/>
        <v>-13125.440402088841</v>
      </c>
      <c r="R14" s="230">
        <f t="shared" si="9"/>
        <v>-17048.234437764611</v>
      </c>
      <c r="S14" s="75">
        <v>7</v>
      </c>
      <c r="T14" s="230">
        <f t="shared" si="21"/>
        <v>20927.053107874817</v>
      </c>
      <c r="U14" s="230">
        <f t="shared" si="10"/>
        <v>-1401.7489225849661</v>
      </c>
      <c r="V14" s="230">
        <f t="shared" si="11"/>
        <v>-116.24349057577568</v>
      </c>
      <c r="W14" s="75">
        <v>7</v>
      </c>
      <c r="X14" s="230">
        <f t="shared" si="20"/>
        <v>1426539.2127474544</v>
      </c>
      <c r="Y14" s="230">
        <f t="shared" si="12"/>
        <v>-13125.440402088841</v>
      </c>
      <c r="Z14" s="230">
        <f t="shared" si="13"/>
        <v>-17048.234437764611</v>
      </c>
      <c r="AA14" s="75">
        <f t="shared" si="14"/>
        <v>50</v>
      </c>
      <c r="AB14" s="75">
        <f t="shared" si="0"/>
        <v>1156400</v>
      </c>
    </row>
    <row r="15" spans="1:28" s="75" customFormat="1">
      <c r="A15" s="76">
        <f t="shared" si="15"/>
        <v>46082</v>
      </c>
      <c r="B15" s="230">
        <f t="shared" si="1"/>
        <v>1468232.5259990324</v>
      </c>
      <c r="C15" s="75">
        <v>8</v>
      </c>
      <c r="D15" s="230">
        <f t="shared" si="16"/>
        <v>19782.937995526823</v>
      </c>
      <c r="E15" s="230">
        <f t="shared" si="2"/>
        <v>-6134.0107732820197</v>
      </c>
      <c r="F15" s="230">
        <f t="shared" si="3"/>
        <v>-421.8719772771251</v>
      </c>
      <c r="K15" s="75">
        <v>8</v>
      </c>
      <c r="L15" s="230">
        <f t="shared" si="18"/>
        <v>210803.92602761998</v>
      </c>
      <c r="M15" s="230">
        <f t="shared" si="6"/>
        <v>-2922.0562179372769</v>
      </c>
      <c r="N15" s="230">
        <f t="shared" si="7"/>
        <v>-2922.0562179372769</v>
      </c>
      <c r="O15" s="75">
        <v>8</v>
      </c>
      <c r="P15" s="230">
        <f t="shared" si="19"/>
        <v>1218236.6012811717</v>
      </c>
      <c r="Q15" s="230">
        <f t="shared" si="8"/>
        <v>-13287.102076374569</v>
      </c>
      <c r="R15" s="230">
        <f t="shared" si="9"/>
        <v>-16886.572763478885</v>
      </c>
      <c r="S15" s="75">
        <v>8</v>
      </c>
      <c r="T15" s="230">
        <f t="shared" si="21"/>
        <v>19409.060694714077</v>
      </c>
      <c r="U15" s="230">
        <f t="shared" si="10"/>
        <v>-1408.7459859568696</v>
      </c>
      <c r="V15" s="230">
        <f t="shared" si="11"/>
        <v>-109.24642720387239</v>
      </c>
      <c r="W15" s="75">
        <v>8</v>
      </c>
      <c r="X15" s="230">
        <f t="shared" si="20"/>
        <v>1396365.5379076009</v>
      </c>
      <c r="Y15" s="230">
        <f t="shared" si="12"/>
        <v>-13287.102076374569</v>
      </c>
      <c r="Z15" s="230">
        <f t="shared" si="13"/>
        <v>-16886.572763478885</v>
      </c>
      <c r="AA15" s="75">
        <f t="shared" si="14"/>
        <v>49</v>
      </c>
      <c r="AB15" s="75">
        <f t="shared" si="0"/>
        <v>1133272</v>
      </c>
    </row>
    <row r="16" spans="1:28" s="75" customFormat="1">
      <c r="A16" s="76">
        <f t="shared" si="15"/>
        <v>46113</v>
      </c>
      <c r="B16" s="230">
        <f t="shared" si="1"/>
        <v>1424763.7167489114</v>
      </c>
      <c r="C16" s="75">
        <v>9</v>
      </c>
      <c r="D16" s="230">
        <f t="shared" si="16"/>
        <v>13227.055244967678</v>
      </c>
      <c r="E16" s="230">
        <f t="shared" si="2"/>
        <v>-6216.1554008875555</v>
      </c>
      <c r="F16" s="230">
        <f t="shared" si="3"/>
        <v>-339.72734967158999</v>
      </c>
      <c r="K16" s="75">
        <v>9</v>
      </c>
      <c r="L16" s="230">
        <f t="shared" si="18"/>
        <v>205582.66678107248</v>
      </c>
      <c r="M16" s="230">
        <f t="shared" si="6"/>
        <v>-2893.7377006348943</v>
      </c>
      <c r="N16" s="230">
        <f t="shared" si="7"/>
        <v>-2893.7377006348943</v>
      </c>
      <c r="O16" s="75">
        <v>9</v>
      </c>
      <c r="P16" s="230">
        <f t="shared" si="19"/>
        <v>1188062.9264413181</v>
      </c>
      <c r="Q16" s="230">
        <f t="shared" si="8"/>
        <v>-13450.754883615247</v>
      </c>
      <c r="R16" s="230">
        <f t="shared" si="9"/>
        <v>-16722.919956238205</v>
      </c>
      <c r="S16" s="75">
        <v>9</v>
      </c>
      <c r="T16" s="230">
        <f t="shared" si="21"/>
        <v>17891.068281553336</v>
      </c>
      <c r="U16" s="230">
        <f t="shared" si="10"/>
        <v>-1415.777976336771</v>
      </c>
      <c r="V16" s="230">
        <f t="shared" si="11"/>
        <v>-102.21443682397101</v>
      </c>
      <c r="W16" s="75">
        <v>9</v>
      </c>
      <c r="X16" s="230">
        <f t="shared" si="20"/>
        <v>1366191.8630677473</v>
      </c>
      <c r="Y16" s="230">
        <f t="shared" si="12"/>
        <v>-13450.754883615247</v>
      </c>
      <c r="Z16" s="230">
        <f t="shared" si="13"/>
        <v>-16722.919956238205</v>
      </c>
      <c r="AA16" s="75">
        <f t="shared" si="14"/>
        <v>48</v>
      </c>
      <c r="AB16" s="75">
        <f t="shared" si="0"/>
        <v>1110144</v>
      </c>
    </row>
    <row r="17" spans="1:28" s="75" customFormat="1">
      <c r="A17" s="76">
        <f t="shared" si="15"/>
        <v>46143</v>
      </c>
      <c r="B17" s="230">
        <f t="shared" si="1"/>
        <v>1381294.9074987906</v>
      </c>
      <c r="C17" s="75">
        <v>10</v>
      </c>
      <c r="D17" s="230">
        <f t="shared" si="16"/>
        <v>6671.1724944085327</v>
      </c>
      <c r="E17" s="230">
        <f t="shared" si="2"/>
        <v>-6299.4000819644416</v>
      </c>
      <c r="F17" s="230">
        <f t="shared" si="3"/>
        <v>-256.48266859470414</v>
      </c>
      <c r="K17" s="75">
        <v>10</v>
      </c>
      <c r="L17" s="230">
        <f t="shared" si="18"/>
        <v>200361.40753452497</v>
      </c>
      <c r="M17" s="230">
        <f t="shared" si="6"/>
        <v>-2865.0703935944039</v>
      </c>
      <c r="N17" s="230">
        <f t="shared" si="7"/>
        <v>-2865.0703935944039</v>
      </c>
      <c r="O17" s="75">
        <v>10</v>
      </c>
      <c r="P17" s="230">
        <f t="shared" si="19"/>
        <v>1157889.2516014646</v>
      </c>
      <c r="Q17" s="230">
        <f t="shared" si="8"/>
        <v>-13616.423347931775</v>
      </c>
      <c r="R17" s="230">
        <f t="shared" si="9"/>
        <v>-16557.251491921677</v>
      </c>
      <c r="S17" s="75">
        <v>10</v>
      </c>
      <c r="T17" s="230">
        <f t="shared" si="21"/>
        <v>16373.075868392594</v>
      </c>
      <c r="U17" s="230">
        <f t="shared" si="10"/>
        <v>-1422.8450680686519</v>
      </c>
      <c r="V17" s="230">
        <f t="shared" si="11"/>
        <v>-95.147345092089964</v>
      </c>
      <c r="W17" s="75">
        <v>10</v>
      </c>
      <c r="X17" s="230">
        <f t="shared" si="20"/>
        <v>1336018.1882278938</v>
      </c>
      <c r="Y17" s="230">
        <f t="shared" si="12"/>
        <v>-13616.423347931775</v>
      </c>
      <c r="Z17" s="230">
        <f t="shared" si="13"/>
        <v>-16557.251491921677</v>
      </c>
      <c r="AA17" s="75">
        <f t="shared" si="14"/>
        <v>47</v>
      </c>
      <c r="AB17" s="75">
        <f t="shared" si="0"/>
        <v>1087016</v>
      </c>
    </row>
    <row r="18" spans="1:28" s="75" customFormat="1">
      <c r="A18" s="76">
        <f t="shared" si="15"/>
        <v>46174</v>
      </c>
      <c r="B18" s="230">
        <f t="shared" si="1"/>
        <v>1337826.0982486696</v>
      </c>
      <c r="C18" s="75">
        <v>11</v>
      </c>
      <c r="D18" s="230">
        <f t="shared" si="16"/>
        <v>115.28974384938738</v>
      </c>
      <c r="E18" s="230">
        <f t="shared" si="2"/>
        <v>-6383.7595480620812</v>
      </c>
      <c r="F18" s="230">
        <f t="shared" si="3"/>
        <v>-172.12320249706372</v>
      </c>
      <c r="K18" s="75">
        <v>11</v>
      </c>
      <c r="L18" s="230">
        <f t="shared" si="18"/>
        <v>195140.14828797747</v>
      </c>
      <c r="M18" s="230">
        <f t="shared" si="6"/>
        <v>-2836.0500008888648</v>
      </c>
      <c r="N18" s="230">
        <f t="shared" si="7"/>
        <v>-2836.0500008888648</v>
      </c>
      <c r="O18" s="75">
        <v>11</v>
      </c>
      <c r="P18" s="230">
        <f t="shared" si="19"/>
        <v>1127715.576761611</v>
      </c>
      <c r="Q18" s="230">
        <f t="shared" si="8"/>
        <v>-13784.132295500471</v>
      </c>
      <c r="R18" s="230">
        <f t="shared" si="9"/>
        <v>-16389.542544352982</v>
      </c>
      <c r="S18" s="75">
        <v>11</v>
      </c>
      <c r="T18" s="230">
        <f t="shared" si="21"/>
        <v>14855.083455231852</v>
      </c>
      <c r="U18" s="230">
        <f t="shared" si="10"/>
        <v>-1429.9474363667614</v>
      </c>
      <c r="V18" s="230">
        <f t="shared" si="11"/>
        <v>-88.044976793980609</v>
      </c>
      <c r="W18" s="75">
        <v>11</v>
      </c>
      <c r="X18" s="230">
        <f t="shared" si="20"/>
        <v>1305844.5133880402</v>
      </c>
      <c r="Y18" s="230">
        <f t="shared" si="12"/>
        <v>-13784.132295500471</v>
      </c>
      <c r="Z18" s="230">
        <f t="shared" si="13"/>
        <v>-16389.542544352982</v>
      </c>
      <c r="AA18" s="75">
        <f t="shared" si="14"/>
        <v>46</v>
      </c>
      <c r="AB18" s="75">
        <f t="shared" si="0"/>
        <v>1063888</v>
      </c>
    </row>
    <row r="19" spans="1:28" s="75" customFormat="1">
      <c r="A19" s="76">
        <f t="shared" si="15"/>
        <v>46204</v>
      </c>
      <c r="B19" s="230">
        <f t="shared" si="1"/>
        <v>1294357.2889985489</v>
      </c>
      <c r="C19" s="75">
        <v>12</v>
      </c>
      <c r="D19" s="230">
        <f t="shared" si="16"/>
        <v>-6440.5930067097579</v>
      </c>
      <c r="E19" s="230">
        <f t="shared" si="2"/>
        <v>-6469.2487280098794</v>
      </c>
      <c r="F19" s="230">
        <f t="shared" si="3"/>
        <v>-86.634022549265637</v>
      </c>
      <c r="K19" s="75">
        <v>12</v>
      </c>
      <c r="L19" s="230">
        <f t="shared" si="18"/>
        <v>189918.88904142997</v>
      </c>
      <c r="M19" s="230">
        <f t="shared" si="6"/>
        <v>-2806.6721736798354</v>
      </c>
      <c r="N19" s="230">
        <f t="shared" si="7"/>
        <v>-2806.6721736798354</v>
      </c>
      <c r="O19" s="75">
        <v>12</v>
      </c>
      <c r="P19" s="230">
        <f t="shared" si="19"/>
        <v>1097541.9019217575</v>
      </c>
      <c r="Q19" s="230">
        <f t="shared" si="8"/>
        <v>-13953.906858273383</v>
      </c>
      <c r="R19" s="230">
        <f t="shared" si="9"/>
        <v>-16219.767981580067</v>
      </c>
      <c r="S19" s="75">
        <v>12</v>
      </c>
      <c r="T19" s="230">
        <f t="shared" si="21"/>
        <v>13337.09104207111</v>
      </c>
      <c r="U19" s="230">
        <f t="shared" si="10"/>
        <v>-1437.0852573199586</v>
      </c>
      <c r="V19" s="230">
        <f t="shared" si="11"/>
        <v>-80.90715584078319</v>
      </c>
      <c r="W19" s="75">
        <v>12</v>
      </c>
      <c r="X19" s="230">
        <f t="shared" si="20"/>
        <v>1275670.8385481867</v>
      </c>
      <c r="Y19" s="230">
        <f t="shared" si="12"/>
        <v>-13953.906858273383</v>
      </c>
      <c r="Z19" s="230">
        <f t="shared" si="13"/>
        <v>-16219.767981580067</v>
      </c>
      <c r="AA19" s="75">
        <f t="shared" si="14"/>
        <v>45</v>
      </c>
      <c r="AB19" s="75">
        <f t="shared" si="0"/>
        <v>1040760</v>
      </c>
    </row>
    <row r="20" spans="1:28" s="75" customFormat="1">
      <c r="A20" s="76">
        <f t="shared" si="15"/>
        <v>46235</v>
      </c>
      <c r="B20" s="230">
        <f t="shared" si="1"/>
        <v>1263884.9555056966</v>
      </c>
      <c r="K20" s="75">
        <v>13</v>
      </c>
      <c r="L20" s="230">
        <f t="shared" si="18"/>
        <v>184697.62979488246</v>
      </c>
      <c r="M20" s="230">
        <f t="shared" si="6"/>
        <v>-2776.9325095656823</v>
      </c>
      <c r="N20" s="230">
        <f t="shared" si="7"/>
        <v>-2776.9325095656823</v>
      </c>
      <c r="O20" s="75">
        <v>13</v>
      </c>
      <c r="P20" s="230">
        <f t="shared" si="19"/>
        <v>1067368.227081904</v>
      </c>
      <c r="Q20" s="230">
        <f t="shared" si="8"/>
        <v>-14125.772477744451</v>
      </c>
      <c r="R20" s="230">
        <f t="shared" si="9"/>
        <v>-16047.902362109002</v>
      </c>
      <c r="S20" s="75">
        <v>13</v>
      </c>
      <c r="T20" s="230">
        <f t="shared" si="21"/>
        <v>11819.098628910368</v>
      </c>
      <c r="U20" s="230">
        <f t="shared" si="10"/>
        <v>-1444.2587078960808</v>
      </c>
      <c r="V20" s="230">
        <f t="shared" si="11"/>
        <v>-73.733705264661069</v>
      </c>
      <c r="W20" s="75">
        <v>13</v>
      </c>
      <c r="X20" s="230">
        <f t="shared" si="20"/>
        <v>1245497.1637083332</v>
      </c>
      <c r="Y20" s="230">
        <f t="shared" si="12"/>
        <v>-14125.772477744451</v>
      </c>
      <c r="Z20" s="230">
        <f t="shared" si="13"/>
        <v>-16047.902362109002</v>
      </c>
      <c r="AA20" s="75">
        <f t="shared" si="14"/>
        <v>44</v>
      </c>
      <c r="AB20" s="75">
        <f t="shared" si="0"/>
        <v>1017632</v>
      </c>
    </row>
    <row r="21" spans="1:28" s="75" customFormat="1">
      <c r="A21" s="76">
        <f t="shared" si="15"/>
        <v>46266</v>
      </c>
      <c r="B21" s="230">
        <f t="shared" si="1"/>
        <v>1226972.0290061352</v>
      </c>
      <c r="K21" s="75">
        <v>14</v>
      </c>
      <c r="L21" s="230">
        <f t="shared" si="18"/>
        <v>179476.37054833496</v>
      </c>
      <c r="M21" s="230">
        <f t="shared" si="6"/>
        <v>-2746.8265519218567</v>
      </c>
      <c r="N21" s="230">
        <f t="shared" si="7"/>
        <v>-2746.8265519218567</v>
      </c>
      <c r="O21" s="75">
        <v>14</v>
      </c>
      <c r="P21" s="230">
        <f t="shared" si="19"/>
        <v>1037194.5522420505</v>
      </c>
      <c r="Q21" s="230">
        <f t="shared" si="8"/>
        <v>-14299.754908762003</v>
      </c>
      <c r="R21" s="230">
        <f t="shared" si="9"/>
        <v>-15873.919931091454</v>
      </c>
      <c r="S21" s="75">
        <v>14</v>
      </c>
      <c r="T21" s="230">
        <f t="shared" si="21"/>
        <v>10301.106215749625</v>
      </c>
      <c r="U21" s="230">
        <f t="shared" si="10"/>
        <v>-1451.4679659463286</v>
      </c>
      <c r="V21" s="230">
        <f t="shared" si="11"/>
        <v>-66.524447214413129</v>
      </c>
      <c r="W21" s="75">
        <v>14</v>
      </c>
      <c r="X21" s="230">
        <f t="shared" si="20"/>
        <v>1215323.4888684796</v>
      </c>
      <c r="Y21" s="230">
        <f t="shared" si="12"/>
        <v>-14299.754908762003</v>
      </c>
      <c r="Z21" s="230">
        <f t="shared" si="13"/>
        <v>-15873.919931091454</v>
      </c>
      <c r="AA21" s="75">
        <f t="shared" si="14"/>
        <v>43</v>
      </c>
      <c r="AB21" s="75">
        <f t="shared" si="0"/>
        <v>994504</v>
      </c>
    </row>
    <row r="22" spans="1:28" s="75" customFormat="1">
      <c r="A22" s="76">
        <f t="shared" si="15"/>
        <v>46296</v>
      </c>
      <c r="B22" s="230">
        <f t="shared" si="1"/>
        <v>1190059.1025065733</v>
      </c>
      <c r="K22" s="75">
        <v>15</v>
      </c>
      <c r="L22" s="230">
        <f t="shared" si="18"/>
        <v>174255.11130178746</v>
      </c>
      <c r="M22" s="230">
        <f t="shared" si="6"/>
        <v>-2716.3497892330502</v>
      </c>
      <c r="N22" s="230">
        <f t="shared" si="7"/>
        <v>-2716.3497892330502</v>
      </c>
      <c r="O22" s="75">
        <v>15</v>
      </c>
      <c r="P22" s="230">
        <f t="shared" si="19"/>
        <v>1007020.8774021971</v>
      </c>
      <c r="Q22" s="230">
        <f t="shared" si="8"/>
        <v>-14475.880223388256</v>
      </c>
      <c r="R22" s="230">
        <f t="shared" si="9"/>
        <v>-15697.794616465197</v>
      </c>
      <c r="S22" s="75">
        <v>15</v>
      </c>
      <c r="T22" s="230">
        <f t="shared" si="21"/>
        <v>8783.1138025888831</v>
      </c>
      <c r="U22" s="230">
        <f t="shared" si="10"/>
        <v>-1458.7132102096775</v>
      </c>
      <c r="V22" s="230">
        <f t="shared" si="11"/>
        <v>-59.279202951064377</v>
      </c>
      <c r="W22" s="75">
        <v>15</v>
      </c>
      <c r="X22" s="230">
        <f t="shared" si="20"/>
        <v>1185149.8140286261</v>
      </c>
      <c r="Y22" s="230">
        <f t="shared" si="12"/>
        <v>-14475.880223388256</v>
      </c>
      <c r="Z22" s="230">
        <f t="shared" si="13"/>
        <v>-15697.794616465197</v>
      </c>
      <c r="AA22" s="75">
        <f t="shared" si="14"/>
        <v>42</v>
      </c>
      <c r="AB22" s="75">
        <f t="shared" si="0"/>
        <v>971376</v>
      </c>
    </row>
    <row r="23" spans="1:28" s="75" customFormat="1">
      <c r="A23" s="76">
        <f t="shared" si="15"/>
        <v>46327</v>
      </c>
      <c r="B23" s="230">
        <f t="shared" si="1"/>
        <v>1153146.1760070119</v>
      </c>
      <c r="K23" s="75">
        <v>16</v>
      </c>
      <c r="L23" s="230">
        <f t="shared" si="18"/>
        <v>169033.85205523996</v>
      </c>
      <c r="M23" s="230">
        <f t="shared" si="6"/>
        <v>-2685.4976544171273</v>
      </c>
      <c r="N23" s="230">
        <f t="shared" si="7"/>
        <v>-2685.4976544171273</v>
      </c>
      <c r="O23" s="75">
        <v>16</v>
      </c>
      <c r="P23" s="230">
        <f t="shared" si="19"/>
        <v>976847.20256234368</v>
      </c>
      <c r="Q23" s="230">
        <f t="shared" si="8"/>
        <v>-14654.17481480632</v>
      </c>
      <c r="R23" s="230">
        <f t="shared" si="9"/>
        <v>-15519.500025047133</v>
      </c>
      <c r="S23" s="75">
        <v>16</v>
      </c>
      <c r="T23" s="230">
        <f t="shared" si="21"/>
        <v>7265.1213894281409</v>
      </c>
      <c r="U23" s="230">
        <f t="shared" si="10"/>
        <v>-1465.9946203173074</v>
      </c>
      <c r="V23" s="230">
        <f t="shared" si="11"/>
        <v>-51.997792843434404</v>
      </c>
      <c r="W23" s="75">
        <v>16</v>
      </c>
      <c r="X23" s="230">
        <f t="shared" si="20"/>
        <v>1154976.1391887725</v>
      </c>
      <c r="Y23" s="230">
        <f t="shared" si="12"/>
        <v>-14654.17481480632</v>
      </c>
      <c r="Z23" s="230">
        <f t="shared" si="13"/>
        <v>-15519.500025047133</v>
      </c>
      <c r="AA23" s="75">
        <f t="shared" si="14"/>
        <v>41</v>
      </c>
      <c r="AB23" s="75">
        <f t="shared" si="0"/>
        <v>948248</v>
      </c>
    </row>
    <row r="24" spans="1:28" s="75" customFormat="1">
      <c r="A24" s="76">
        <f t="shared" si="15"/>
        <v>46357</v>
      </c>
      <c r="B24" s="230">
        <f t="shared" si="1"/>
        <v>1116233.24950745</v>
      </c>
      <c r="K24" s="75">
        <v>17</v>
      </c>
      <c r="L24" s="230">
        <f t="shared" si="18"/>
        <v>163812.59280869245</v>
      </c>
      <c r="M24" s="230">
        <f t="shared" si="6"/>
        <v>-2654.2655241407215</v>
      </c>
      <c r="N24" s="230">
        <f t="shared" si="7"/>
        <v>-2654.2655241407215</v>
      </c>
      <c r="O24" s="75">
        <v>17</v>
      </c>
      <c r="P24" s="230">
        <f t="shared" si="19"/>
        <v>946673.52772249025</v>
      </c>
      <c r="Q24" s="230">
        <f t="shared" si="8"/>
        <v>-14834.665401275353</v>
      </c>
      <c r="R24" s="230">
        <f t="shared" si="9"/>
        <v>-15339.009438578099</v>
      </c>
      <c r="S24" s="75">
        <v>17</v>
      </c>
      <c r="T24" s="230">
        <f t="shared" si="21"/>
        <v>5747.1289762673987</v>
      </c>
      <c r="U24" s="230">
        <f t="shared" si="10"/>
        <v>-1473.3123767970581</v>
      </c>
      <c r="V24" s="230">
        <f t="shared" si="11"/>
        <v>-44.68003636368384</v>
      </c>
      <c r="W24" s="75">
        <v>17</v>
      </c>
      <c r="X24" s="230">
        <f t="shared" si="20"/>
        <v>1124802.464348919</v>
      </c>
      <c r="Y24" s="230">
        <f t="shared" si="12"/>
        <v>-14834.665401275353</v>
      </c>
      <c r="Z24" s="230">
        <f t="shared" si="13"/>
        <v>-15339.009438578099</v>
      </c>
      <c r="AA24" s="75">
        <f t="shared" si="14"/>
        <v>40</v>
      </c>
      <c r="AB24" s="75">
        <f t="shared" si="0"/>
        <v>925120</v>
      </c>
    </row>
    <row r="25" spans="1:28" s="75" customFormat="1">
      <c r="A25" s="76">
        <f t="shared" si="15"/>
        <v>46388</v>
      </c>
      <c r="B25" s="230">
        <f t="shared" si="1"/>
        <v>1079320.3230078884</v>
      </c>
      <c r="K25" s="75">
        <v>18</v>
      </c>
      <c r="L25" s="230">
        <f t="shared" si="18"/>
        <v>158591.33356214495</v>
      </c>
      <c r="M25" s="230">
        <f t="shared" si="6"/>
        <v>-2622.6487181264115</v>
      </c>
      <c r="N25" s="230">
        <f t="shared" si="7"/>
        <v>-2622.6487181264115</v>
      </c>
      <c r="O25" s="75">
        <v>18</v>
      </c>
      <c r="P25" s="230">
        <f t="shared" si="19"/>
        <v>916499.85288263683</v>
      </c>
      <c r="Q25" s="230">
        <f t="shared" si="8"/>
        <v>-15017.379030134394</v>
      </c>
      <c r="R25" s="230">
        <f t="shared" si="9"/>
        <v>-15156.295809719059</v>
      </c>
      <c r="S25" s="75">
        <v>18</v>
      </c>
      <c r="T25" s="230">
        <f t="shared" si="21"/>
        <v>4229.1365631066565</v>
      </c>
      <c r="U25" s="230">
        <f t="shared" si="10"/>
        <v>-1480.6666610779032</v>
      </c>
      <c r="V25" s="230">
        <f t="shared" si="11"/>
        <v>-37.325752082838527</v>
      </c>
      <c r="W25" s="75">
        <v>18</v>
      </c>
      <c r="X25" s="230">
        <f t="shared" si="20"/>
        <v>1094628.7895090654</v>
      </c>
      <c r="Y25" s="230">
        <f t="shared" si="12"/>
        <v>-15017.379030134394</v>
      </c>
      <c r="Z25" s="230">
        <f t="shared" si="13"/>
        <v>-15156.295809719059</v>
      </c>
      <c r="AA25" s="75">
        <f t="shared" si="14"/>
        <v>39</v>
      </c>
      <c r="AB25" s="75">
        <f t="shared" si="0"/>
        <v>901992</v>
      </c>
    </row>
    <row r="26" spans="1:28" s="75" customFormat="1">
      <c r="A26" s="76">
        <f t="shared" si="15"/>
        <v>46419</v>
      </c>
      <c r="B26" s="230">
        <f t="shared" si="1"/>
        <v>1042407.3965083268</v>
      </c>
      <c r="K26" s="75">
        <v>19</v>
      </c>
      <c r="L26" s="230">
        <f t="shared" si="18"/>
        <v>153370.07431559745</v>
      </c>
      <c r="M26" s="230">
        <f t="shared" si="6"/>
        <v>-2590.6424984513587</v>
      </c>
      <c r="N26" s="230">
        <f t="shared" si="7"/>
        <v>-2590.6424984513587</v>
      </c>
      <c r="O26" s="75">
        <v>19</v>
      </c>
      <c r="P26" s="230">
        <f t="shared" si="19"/>
        <v>886326.1780427834</v>
      </c>
      <c r="Q26" s="230">
        <f t="shared" si="8"/>
        <v>-15202.343081855548</v>
      </c>
      <c r="R26" s="230">
        <f t="shared" si="9"/>
        <v>-14971.331757997905</v>
      </c>
      <c r="S26" s="75">
        <v>19</v>
      </c>
      <c r="T26" s="230">
        <f t="shared" si="21"/>
        <v>2711.1441499459147</v>
      </c>
      <c r="U26" s="230">
        <f t="shared" si="10"/>
        <v>-1488.0576554944505</v>
      </c>
      <c r="V26" s="230">
        <f t="shared" si="11"/>
        <v>-29.934757666291322</v>
      </c>
      <c r="W26" s="75">
        <v>19</v>
      </c>
      <c r="X26" s="230">
        <f t="shared" si="20"/>
        <v>1064455.1146692119</v>
      </c>
      <c r="Y26" s="230">
        <f t="shared" si="12"/>
        <v>-15202.343081855548</v>
      </c>
      <c r="Z26" s="230">
        <f t="shared" si="13"/>
        <v>-14971.331757997905</v>
      </c>
      <c r="AA26" s="75">
        <f t="shared" si="14"/>
        <v>38</v>
      </c>
      <c r="AB26" s="75">
        <f t="shared" si="0"/>
        <v>878864</v>
      </c>
    </row>
    <row r="27" spans="1:28" s="75" customFormat="1">
      <c r="A27" s="76">
        <f t="shared" si="15"/>
        <v>46447</v>
      </c>
      <c r="B27" s="230">
        <f t="shared" si="1"/>
        <v>1005494.4700087651</v>
      </c>
      <c r="K27" s="75">
        <v>20</v>
      </c>
      <c r="L27" s="230">
        <f t="shared" si="18"/>
        <v>148148.81506904995</v>
      </c>
      <c r="M27" s="230">
        <f t="shared" si="6"/>
        <v>-2558.2420688373072</v>
      </c>
      <c r="N27" s="230">
        <f t="shared" si="7"/>
        <v>-2558.2420688373072</v>
      </c>
      <c r="O27" s="75">
        <v>20</v>
      </c>
      <c r="P27" s="230">
        <f t="shared" si="19"/>
        <v>856152.50320292998</v>
      </c>
      <c r="Q27" s="230">
        <f t="shared" si="8"/>
        <v>-15389.58527414707</v>
      </c>
      <c r="R27" s="230">
        <f t="shared" si="9"/>
        <v>-14784.089565706381</v>
      </c>
      <c r="S27" s="75">
        <v>20</v>
      </c>
      <c r="T27" s="230">
        <f t="shared" si="21"/>
        <v>1193.1517367851729</v>
      </c>
      <c r="U27" s="230">
        <f t="shared" si="10"/>
        <v>-1495.4855432914605</v>
      </c>
      <c r="V27" s="230">
        <f t="shared" si="11"/>
        <v>-22.50686986928152</v>
      </c>
      <c r="W27" s="75">
        <v>20</v>
      </c>
      <c r="X27" s="230">
        <f t="shared" si="20"/>
        <v>1034281.4398293585</v>
      </c>
      <c r="Y27" s="230">
        <f t="shared" si="12"/>
        <v>-15389.58527414707</v>
      </c>
      <c r="Z27" s="230">
        <f t="shared" si="13"/>
        <v>-14784.089565706381</v>
      </c>
      <c r="AA27" s="75">
        <f t="shared" si="14"/>
        <v>37</v>
      </c>
      <c r="AB27" s="75">
        <f t="shared" si="0"/>
        <v>855736</v>
      </c>
    </row>
    <row r="28" spans="1:28" s="75" customFormat="1">
      <c r="A28" s="76">
        <f t="shared" si="15"/>
        <v>46478</v>
      </c>
      <c r="B28" s="230">
        <f t="shared" si="1"/>
        <v>968581.54350920347</v>
      </c>
      <c r="K28" s="75">
        <v>21</v>
      </c>
      <c r="L28" s="230">
        <f t="shared" si="18"/>
        <v>142927.55582250244</v>
      </c>
      <c r="M28" s="230">
        <f t="shared" si="6"/>
        <v>-2525.442573931844</v>
      </c>
      <c r="N28" s="230">
        <f t="shared" si="7"/>
        <v>-2525.442573931844</v>
      </c>
      <c r="O28" s="75">
        <v>21</v>
      </c>
      <c r="P28" s="230">
        <f t="shared" si="19"/>
        <v>825978.82836307655</v>
      </c>
      <c r="Q28" s="230">
        <f t="shared" si="8"/>
        <v>-15579.13366610698</v>
      </c>
      <c r="R28" s="230">
        <f t="shared" si="9"/>
        <v>-14594.541173746473</v>
      </c>
      <c r="S28" s="75">
        <v>21</v>
      </c>
      <c r="T28" s="230">
        <f t="shared" si="21"/>
        <v>-324.84067637556882</v>
      </c>
      <c r="U28" s="230">
        <f t="shared" si="10"/>
        <v>-1502.9505086283903</v>
      </c>
      <c r="V28" s="230">
        <f t="shared" si="11"/>
        <v>-15.041904532351648</v>
      </c>
      <c r="W28" s="75">
        <v>21</v>
      </c>
      <c r="X28" s="230">
        <f t="shared" si="20"/>
        <v>1004107.7649895051</v>
      </c>
      <c r="Y28" s="230">
        <f t="shared" si="12"/>
        <v>-15579.13366610698</v>
      </c>
      <c r="Z28" s="230">
        <f t="shared" si="13"/>
        <v>-14594.541173746473</v>
      </c>
      <c r="AA28" s="75">
        <f t="shared" si="14"/>
        <v>36</v>
      </c>
      <c r="AB28" s="75">
        <f t="shared" si="0"/>
        <v>832608</v>
      </c>
    </row>
    <row r="29" spans="1:28" s="75" customFormat="1">
      <c r="A29" s="76">
        <f t="shared" si="15"/>
        <v>46508</v>
      </c>
      <c r="B29" s="230">
        <f t="shared" si="1"/>
        <v>931668.61700964184</v>
      </c>
      <c r="K29" s="75">
        <v>22</v>
      </c>
      <c r="L29" s="230">
        <f t="shared" si="18"/>
        <v>137706.29657595494</v>
      </c>
      <c r="M29" s="230">
        <f t="shared" si="6"/>
        <v>-2492.2390985807938</v>
      </c>
      <c r="N29" s="230">
        <f t="shared" si="7"/>
        <v>-2492.2390985807938</v>
      </c>
      <c r="O29" s="75">
        <v>22</v>
      </c>
      <c r="P29" s="230">
        <f t="shared" si="19"/>
        <v>795805.15352322313</v>
      </c>
      <c r="Q29" s="230">
        <f t="shared" si="8"/>
        <v>-15771.016662427863</v>
      </c>
      <c r="R29" s="230">
        <f t="shared" si="9"/>
        <v>-14402.658177425586</v>
      </c>
      <c r="S29" s="75">
        <v>22</v>
      </c>
      <c r="T29" s="230">
        <f t="shared" si="21"/>
        <v>-1842.8330895363106</v>
      </c>
      <c r="U29" s="230">
        <f t="shared" si="10"/>
        <v>-1510.4527365839604</v>
      </c>
      <c r="V29" s="230">
        <f t="shared" si="11"/>
        <v>-7.5396765767816021</v>
      </c>
      <c r="W29" s="75">
        <v>22</v>
      </c>
      <c r="X29" s="230">
        <f t="shared" si="20"/>
        <v>973934.09014965163</v>
      </c>
      <c r="Y29" s="230">
        <f t="shared" si="12"/>
        <v>-15771.016662427863</v>
      </c>
      <c r="Z29" s="230">
        <f t="shared" si="13"/>
        <v>-14402.658177425586</v>
      </c>
      <c r="AA29" s="75">
        <f t="shared" si="14"/>
        <v>35</v>
      </c>
      <c r="AB29" s="75">
        <f t="shared" si="0"/>
        <v>809480</v>
      </c>
    </row>
    <row r="30" spans="1:28" s="75" customFormat="1">
      <c r="A30" s="76">
        <f t="shared" si="15"/>
        <v>46539</v>
      </c>
      <c r="B30" s="230">
        <f t="shared" si="1"/>
        <v>898116.51601277711</v>
      </c>
      <c r="K30" s="75">
        <v>23</v>
      </c>
      <c r="L30" s="230">
        <f t="shared" si="18"/>
        <v>132485.03732940744</v>
      </c>
      <c r="M30" s="230">
        <f t="shared" si="6"/>
        <v>-2458.6266670916712</v>
      </c>
      <c r="N30" s="230">
        <f t="shared" si="7"/>
        <v>-2458.6266670916712</v>
      </c>
      <c r="O30" s="75">
        <v>23</v>
      </c>
      <c r="P30" s="230">
        <f t="shared" si="19"/>
        <v>765631.4786833697</v>
      </c>
      <c r="Q30" s="230">
        <f t="shared" si="8"/>
        <v>-15965.263017653433</v>
      </c>
      <c r="R30" s="230">
        <f t="shared" si="9"/>
        <v>-14208.411822200018</v>
      </c>
      <c r="W30" s="75">
        <v>23</v>
      </c>
      <c r="X30" s="230">
        <f t="shared" si="20"/>
        <v>943760.41530979821</v>
      </c>
      <c r="Y30" s="230">
        <f t="shared" si="12"/>
        <v>-15965.263017653433</v>
      </c>
      <c r="Z30" s="230">
        <f t="shared" si="13"/>
        <v>-14208.411822200018</v>
      </c>
      <c r="AA30" s="75">
        <f t="shared" si="14"/>
        <v>34</v>
      </c>
      <c r="AB30" s="75">
        <f t="shared" si="0"/>
        <v>786352</v>
      </c>
    </row>
    <row r="31" spans="1:28" s="75" customFormat="1">
      <c r="A31" s="76">
        <f t="shared" si="15"/>
        <v>46569</v>
      </c>
      <c r="B31" s="230">
        <f t="shared" si="1"/>
        <v>862721.58192637621</v>
      </c>
      <c r="K31" s="75">
        <v>24</v>
      </c>
      <c r="L31" s="230">
        <f t="shared" si="18"/>
        <v>127263.77808285994</v>
      </c>
      <c r="M31" s="230">
        <f t="shared" si="6"/>
        <v>-2424.6002424880398</v>
      </c>
      <c r="N31" s="230">
        <f t="shared" si="7"/>
        <v>-2424.6002424880398</v>
      </c>
      <c r="O31" s="75">
        <v>24</v>
      </c>
      <c r="P31" s="230">
        <f t="shared" si="19"/>
        <v>735457.80384351627</v>
      </c>
      <c r="Q31" s="230">
        <f t="shared" si="8"/>
        <v>-16161.901840487533</v>
      </c>
      <c r="R31" s="230">
        <f t="shared" si="9"/>
        <v>-14011.77299936592</v>
      </c>
      <c r="W31" s="75">
        <v>24</v>
      </c>
      <c r="X31" s="230">
        <f t="shared" si="20"/>
        <v>913586.74046994478</v>
      </c>
      <c r="Y31" s="230">
        <f t="shared" si="12"/>
        <v>-16161.901840487533</v>
      </c>
      <c r="Z31" s="230">
        <f t="shared" si="13"/>
        <v>-14011.77299936592</v>
      </c>
      <c r="AA31" s="75">
        <f t="shared" si="14"/>
        <v>33</v>
      </c>
      <c r="AB31" s="75">
        <f t="shared" si="0"/>
        <v>763224</v>
      </c>
    </row>
    <row r="32" spans="1:28" s="75" customFormat="1">
      <c r="A32" s="76">
        <f t="shared" si="15"/>
        <v>46600</v>
      </c>
      <c r="B32" s="230">
        <f t="shared" si="1"/>
        <v>827326.64783997531</v>
      </c>
      <c r="K32" s="75">
        <v>25</v>
      </c>
      <c r="L32" s="230">
        <f t="shared" si="18"/>
        <v>122042.51883631243</v>
      </c>
      <c r="M32" s="230">
        <f t="shared" si="6"/>
        <v>-2390.1547257547072</v>
      </c>
      <c r="N32" s="230">
        <f t="shared" si="7"/>
        <v>-2390.1547257547072</v>
      </c>
      <c r="O32" s="75">
        <v>25</v>
      </c>
      <c r="P32" s="230">
        <f t="shared" si="19"/>
        <v>705284.12900366285</v>
      </c>
      <c r="Q32" s="230">
        <f t="shared" si="8"/>
        <v>-16360.962598156204</v>
      </c>
      <c r="R32" s="230">
        <f t="shared" si="9"/>
        <v>-13812.712241697245</v>
      </c>
      <c r="W32" s="75">
        <v>25</v>
      </c>
      <c r="X32" s="230">
        <f t="shared" si="20"/>
        <v>883413.06563009135</v>
      </c>
      <c r="Y32" s="230">
        <f t="shared" si="12"/>
        <v>-16360.962598156204</v>
      </c>
      <c r="Z32" s="230">
        <f t="shared" si="13"/>
        <v>-13812.712241697245</v>
      </c>
      <c r="AA32" s="75">
        <f t="shared" si="14"/>
        <v>32</v>
      </c>
      <c r="AB32" s="75">
        <f t="shared" si="0"/>
        <v>740096</v>
      </c>
    </row>
    <row r="33" spans="1:28" s="75" customFormat="1">
      <c r="A33" s="76">
        <f t="shared" si="15"/>
        <v>46631</v>
      </c>
      <c r="B33" s="230">
        <f t="shared" si="1"/>
        <v>791931.71375357429</v>
      </c>
      <c r="K33" s="75">
        <v>26</v>
      </c>
      <c r="L33" s="230">
        <f t="shared" si="18"/>
        <v>116821.25958976493</v>
      </c>
      <c r="M33" s="230">
        <f t="shared" si="6"/>
        <v>-2355.2849550736096</v>
      </c>
      <c r="N33" s="230">
        <f t="shared" si="7"/>
        <v>-2355.2849550736096</v>
      </c>
      <c r="O33" s="75">
        <v>26</v>
      </c>
      <c r="P33" s="230">
        <f t="shared" si="19"/>
        <v>675110.45416380942</v>
      </c>
      <c r="Q33" s="230">
        <f t="shared" si="8"/>
        <v>-16562.475120823492</v>
      </c>
      <c r="R33" s="230">
        <f t="shared" si="9"/>
        <v>-13611.199719029959</v>
      </c>
      <c r="W33" s="75">
        <v>26</v>
      </c>
      <c r="X33" s="230">
        <f t="shared" si="20"/>
        <v>853239.39079023793</v>
      </c>
      <c r="Y33" s="230">
        <f t="shared" si="12"/>
        <v>-16562.475120823492</v>
      </c>
      <c r="Z33" s="230">
        <f t="shared" si="13"/>
        <v>-13611.199719029959</v>
      </c>
      <c r="AA33" s="75">
        <f t="shared" si="14"/>
        <v>31</v>
      </c>
      <c r="AB33" s="75">
        <f t="shared" si="0"/>
        <v>716968</v>
      </c>
    </row>
    <row r="34" spans="1:28" s="75" customFormat="1">
      <c r="A34" s="76">
        <f t="shared" si="15"/>
        <v>46661</v>
      </c>
      <c r="B34" s="230">
        <f t="shared" si="1"/>
        <v>756536.7796671734</v>
      </c>
      <c r="K34" s="75">
        <v>27</v>
      </c>
      <c r="L34" s="230">
        <f t="shared" si="18"/>
        <v>111600.00034321743</v>
      </c>
      <c r="M34" s="230">
        <f t="shared" si="6"/>
        <v>-2319.9857050502897</v>
      </c>
      <c r="N34" s="230">
        <f t="shared" si="7"/>
        <v>-2319.9857050502897</v>
      </c>
      <c r="O34" s="75">
        <v>27</v>
      </c>
      <c r="P34" s="230">
        <f t="shared" si="19"/>
        <v>644936.779323956</v>
      </c>
      <c r="Q34" s="230">
        <f t="shared" si="8"/>
        <v>-16766.469606061633</v>
      </c>
      <c r="R34" s="230">
        <f t="shared" si="9"/>
        <v>-13407.205233791818</v>
      </c>
      <c r="W34" s="75">
        <v>27</v>
      </c>
      <c r="X34" s="230">
        <f t="shared" si="20"/>
        <v>823065.7159503845</v>
      </c>
      <c r="Y34" s="230">
        <f t="shared" si="12"/>
        <v>-16766.469606061633</v>
      </c>
      <c r="Z34" s="230">
        <f t="shared" si="13"/>
        <v>-13407.205233791818</v>
      </c>
      <c r="AA34" s="75">
        <f t="shared" si="14"/>
        <v>30</v>
      </c>
      <c r="AB34" s="75">
        <f t="shared" si="0"/>
        <v>693840</v>
      </c>
    </row>
    <row r="35" spans="1:28" s="75" customFormat="1">
      <c r="A35" s="76">
        <f t="shared" si="15"/>
        <v>46692</v>
      </c>
      <c r="B35" s="230">
        <f t="shared" si="1"/>
        <v>721141.8455807725</v>
      </c>
      <c r="K35" s="75">
        <v>28</v>
      </c>
      <c r="L35" s="230">
        <f t="shared" si="18"/>
        <v>106378.74109666992</v>
      </c>
      <c r="M35" s="230">
        <f t="shared" si="6"/>
        <v>-2284.2516859308489</v>
      </c>
      <c r="N35" s="230">
        <f t="shared" si="7"/>
        <v>-2284.2516859308489</v>
      </c>
      <c r="O35" s="75">
        <v>28</v>
      </c>
      <c r="P35" s="230">
        <f t="shared" si="19"/>
        <v>614763.10448410257</v>
      </c>
      <c r="Q35" s="230">
        <f t="shared" si="8"/>
        <v>-16972.976623376297</v>
      </c>
      <c r="R35" s="230">
        <f t="shared" si="9"/>
        <v>-13200.698216477158</v>
      </c>
      <c r="W35" s="75">
        <v>28</v>
      </c>
      <c r="X35" s="230">
        <f t="shared" si="20"/>
        <v>792892.04111053108</v>
      </c>
      <c r="Y35" s="230">
        <f t="shared" si="12"/>
        <v>-16972.976623376297</v>
      </c>
      <c r="Z35" s="230">
        <f t="shared" si="13"/>
        <v>-13200.698216477158</v>
      </c>
      <c r="AA35" s="75">
        <f t="shared" si="14"/>
        <v>29</v>
      </c>
      <c r="AB35" s="75">
        <f t="shared" si="0"/>
        <v>670712</v>
      </c>
    </row>
    <row r="36" spans="1:28" s="75" customFormat="1">
      <c r="A36" s="76">
        <f t="shared" si="15"/>
        <v>46722</v>
      </c>
      <c r="B36" s="230">
        <f t="shared" si="1"/>
        <v>685746.9114943716</v>
      </c>
      <c r="K36" s="75">
        <v>29</v>
      </c>
      <c r="L36" s="230">
        <f t="shared" si="18"/>
        <v>101157.48185012242</v>
      </c>
      <c r="M36" s="230">
        <f t="shared" si="6"/>
        <v>-2248.0775428092534</v>
      </c>
      <c r="N36" s="230">
        <f t="shared" si="7"/>
        <v>-2248.0775428092534</v>
      </c>
      <c r="O36" s="75">
        <v>29</v>
      </c>
      <c r="P36" s="230">
        <f t="shared" si="19"/>
        <v>584589.42964424915</v>
      </c>
      <c r="Q36" s="230">
        <f t="shared" si="8"/>
        <v>-17182.027118787548</v>
      </c>
      <c r="R36" s="230">
        <f t="shared" si="9"/>
        <v>-12991.647721065905</v>
      </c>
      <c r="W36" s="75">
        <v>29</v>
      </c>
      <c r="X36" s="230">
        <f t="shared" si="20"/>
        <v>762718.36627067765</v>
      </c>
      <c r="Y36" s="230">
        <f t="shared" si="12"/>
        <v>-17182.027118787548</v>
      </c>
      <c r="Z36" s="230">
        <f t="shared" si="13"/>
        <v>-12991.647721065905</v>
      </c>
      <c r="AA36" s="75">
        <f t="shared" si="14"/>
        <v>28</v>
      </c>
      <c r="AB36" s="75">
        <f t="shared" si="0"/>
        <v>647584</v>
      </c>
    </row>
    <row r="37" spans="1:28" s="75" customFormat="1">
      <c r="A37" s="76">
        <f t="shared" si="15"/>
        <v>46753</v>
      </c>
      <c r="B37" s="230">
        <f t="shared" si="1"/>
        <v>650351.9774079707</v>
      </c>
      <c r="K37" s="75">
        <v>30</v>
      </c>
      <c r="L37" s="230">
        <f t="shared" si="18"/>
        <v>95936.222603574919</v>
      </c>
      <c r="M37" s="230">
        <f t="shared" si="6"/>
        <v>-2211.4578548248778</v>
      </c>
      <c r="N37" s="230">
        <f t="shared" si="7"/>
        <v>-2211.4578548248778</v>
      </c>
      <c r="O37" s="75">
        <v>30</v>
      </c>
      <c r="P37" s="230">
        <f t="shared" si="19"/>
        <v>554415.75480439572</v>
      </c>
      <c r="Q37" s="230">
        <f t="shared" si="8"/>
        <v>-17393.652419467282</v>
      </c>
      <c r="R37" s="230">
        <f t="shared" si="9"/>
        <v>-12780.022420386173</v>
      </c>
      <c r="W37" s="75">
        <v>30</v>
      </c>
      <c r="X37" s="230">
        <f t="shared" si="20"/>
        <v>732544.69143082423</v>
      </c>
      <c r="Y37" s="230">
        <f t="shared" si="12"/>
        <v>-17393.652419467282</v>
      </c>
      <c r="Z37" s="230">
        <f t="shared" si="13"/>
        <v>-12780.022420386173</v>
      </c>
      <c r="AA37" s="75">
        <f t="shared" si="14"/>
        <v>27</v>
      </c>
      <c r="AB37" s="75">
        <f t="shared" si="0"/>
        <v>624456</v>
      </c>
    </row>
    <row r="38" spans="1:28" s="75" customFormat="1">
      <c r="A38" s="76">
        <f t="shared" si="15"/>
        <v>46784</v>
      </c>
      <c r="B38" s="230">
        <f t="shared" si="1"/>
        <v>614957.04332156968</v>
      </c>
      <c r="K38" s="75">
        <v>31</v>
      </c>
      <c r="L38" s="230">
        <f t="shared" si="18"/>
        <v>90714.963357027416</v>
      </c>
      <c r="M38" s="230">
        <f t="shared" si="6"/>
        <v>-2174.3871343501605</v>
      </c>
      <c r="N38" s="230">
        <f t="shared" si="7"/>
        <v>-2174.3871343501605</v>
      </c>
      <c r="O38" s="75">
        <v>31</v>
      </c>
      <c r="P38" s="230">
        <f t="shared" si="19"/>
        <v>524242.0799645423</v>
      </c>
      <c r="Q38" s="230">
        <f t="shared" si="8"/>
        <v>-17607.884238433719</v>
      </c>
      <c r="R38" s="230">
        <f t="shared" si="9"/>
        <v>-12565.790601419732</v>
      </c>
      <c r="W38" s="75">
        <v>31</v>
      </c>
      <c r="X38" s="230">
        <f t="shared" si="20"/>
        <v>702371.0165909708</v>
      </c>
      <c r="Y38" s="230">
        <f t="shared" si="12"/>
        <v>-17607.884238433719</v>
      </c>
      <c r="Z38" s="230">
        <f t="shared" si="13"/>
        <v>-12565.790601419732</v>
      </c>
      <c r="AA38" s="75">
        <f t="shared" si="14"/>
        <v>26</v>
      </c>
      <c r="AB38" s="75">
        <f t="shared" si="0"/>
        <v>601328</v>
      </c>
    </row>
    <row r="39" spans="1:28" s="75" customFormat="1">
      <c r="A39" s="76">
        <f t="shared" si="15"/>
        <v>46813</v>
      </c>
      <c r="B39" s="230">
        <f t="shared" si="1"/>
        <v>579562.10923516878</v>
      </c>
      <c r="K39" s="75">
        <v>32</v>
      </c>
      <c r="L39" s="230">
        <f t="shared" si="18"/>
        <v>85493.704110479914</v>
      </c>
      <c r="M39" s="230">
        <f t="shared" si="6"/>
        <v>-2136.8598261682632</v>
      </c>
      <c r="N39" s="230">
        <f t="shared" si="7"/>
        <v>-2136.8598261682632</v>
      </c>
      <c r="O39" s="75">
        <v>32</v>
      </c>
      <c r="P39" s="230">
        <f t="shared" si="19"/>
        <v>494068.40512468887</v>
      </c>
      <c r="Q39" s="230">
        <f t="shared" si="8"/>
        <v>-17824.754679303762</v>
      </c>
      <c r="R39" s="230">
        <f t="shared" si="9"/>
        <v>-12348.920160549689</v>
      </c>
      <c r="W39" s="75">
        <v>32</v>
      </c>
      <c r="X39" s="230">
        <f t="shared" si="20"/>
        <v>672197.34175111738</v>
      </c>
      <c r="Y39" s="230">
        <f t="shared" si="12"/>
        <v>-17824.754679303762</v>
      </c>
      <c r="Z39" s="230">
        <f t="shared" si="13"/>
        <v>-12348.920160549689</v>
      </c>
      <c r="AA39" s="75">
        <f t="shared" si="14"/>
        <v>25</v>
      </c>
      <c r="AB39" s="75">
        <f t="shared" si="0"/>
        <v>578200</v>
      </c>
    </row>
    <row r="40" spans="1:28" s="75" customFormat="1">
      <c r="A40" s="76">
        <f t="shared" si="15"/>
        <v>46844</v>
      </c>
      <c r="B40" s="230">
        <f t="shared" si="1"/>
        <v>544167.17514876788</v>
      </c>
      <c r="K40" s="75">
        <v>33</v>
      </c>
      <c r="L40" s="230">
        <f t="shared" si="18"/>
        <v>80272.444863932411</v>
      </c>
      <c r="M40" s="230">
        <f t="shared" si="6"/>
        <v>-2098.8703066405924</v>
      </c>
      <c r="N40" s="230">
        <f t="shared" si="7"/>
        <v>-2098.8703066405924</v>
      </c>
      <c r="O40" s="75">
        <v>33</v>
      </c>
      <c r="P40" s="230">
        <f t="shared" si="19"/>
        <v>463894.73028483544</v>
      </c>
      <c r="Q40" s="230">
        <f t="shared" si="8"/>
        <v>-18044.296241103853</v>
      </c>
      <c r="R40" s="230">
        <f t="shared" si="9"/>
        <v>-12129.378598749599</v>
      </c>
      <c r="W40" s="75">
        <v>33</v>
      </c>
      <c r="X40" s="230">
        <f t="shared" si="20"/>
        <v>642023.66691126395</v>
      </c>
      <c r="Y40" s="230">
        <f t="shared" si="12"/>
        <v>-18044.296241103853</v>
      </c>
      <c r="Z40" s="230">
        <f t="shared" si="13"/>
        <v>-12129.378598749599</v>
      </c>
      <c r="AA40" s="75">
        <f t="shared" si="14"/>
        <v>24</v>
      </c>
      <c r="AB40" s="75">
        <f t="shared" ref="AB40:AB64" si="22">23128*AA40</f>
        <v>555072</v>
      </c>
    </row>
    <row r="41" spans="1:28" s="75" customFormat="1">
      <c r="A41" s="76">
        <f t="shared" si="15"/>
        <v>46874</v>
      </c>
      <c r="B41" s="230">
        <f t="shared" si="1"/>
        <v>508772.24106236693</v>
      </c>
      <c r="K41" s="75">
        <v>34</v>
      </c>
      <c r="L41" s="230">
        <f t="shared" si="18"/>
        <v>75051.185617384908</v>
      </c>
      <c r="M41" s="230">
        <f t="shared" si="6"/>
        <v>-2060.4128828640723</v>
      </c>
      <c r="N41" s="230">
        <f t="shared" si="7"/>
        <v>-2060.4128828640723</v>
      </c>
      <c r="O41" s="75">
        <v>34</v>
      </c>
      <c r="P41" s="230">
        <f t="shared" si="19"/>
        <v>433721.05544498202</v>
      </c>
      <c r="Q41" s="230">
        <f t="shared" si="8"/>
        <v>-18266.541823140116</v>
      </c>
      <c r="R41" s="230">
        <f t="shared" si="9"/>
        <v>-11907.133016713338</v>
      </c>
      <c r="W41" s="75">
        <v>34</v>
      </c>
      <c r="X41" s="230">
        <f t="shared" si="20"/>
        <v>611849.99207141052</v>
      </c>
      <c r="Y41" s="230">
        <f t="shared" si="12"/>
        <v>-18266.541823140116</v>
      </c>
      <c r="Z41" s="230">
        <f t="shared" si="13"/>
        <v>-11907.133016713338</v>
      </c>
      <c r="AA41" s="75">
        <f t="shared" ref="AA41:AA64" si="23">AA40-1</f>
        <v>23</v>
      </c>
      <c r="AB41" s="75">
        <f t="shared" si="22"/>
        <v>531944</v>
      </c>
    </row>
    <row r="42" spans="1:28" s="75" customFormat="1">
      <c r="A42" s="76">
        <f t="shared" si="15"/>
        <v>46905</v>
      </c>
      <c r="B42" s="230">
        <f t="shared" si="1"/>
        <v>473377.30697596597</v>
      </c>
      <c r="K42" s="75">
        <v>35</v>
      </c>
      <c r="L42" s="230">
        <f t="shared" si="18"/>
        <v>69829.926370837406</v>
      </c>
      <c r="M42" s="230">
        <f t="shared" si="6"/>
        <v>-2021.4817918180377</v>
      </c>
      <c r="N42" s="230">
        <f t="shared" si="7"/>
        <v>-2021.4817918180377</v>
      </c>
      <c r="O42" s="75">
        <v>35</v>
      </c>
      <c r="P42" s="230">
        <f t="shared" si="19"/>
        <v>403547.38060512859</v>
      </c>
      <c r="Q42" s="230">
        <f t="shared" si="8"/>
        <v>-18491.524729928457</v>
      </c>
      <c r="R42" s="230">
        <f t="shared" si="9"/>
        <v>-11682.150109924994</v>
      </c>
      <c r="W42" s="75">
        <v>35</v>
      </c>
      <c r="X42" s="230">
        <f t="shared" si="20"/>
        <v>581676.3172315571</v>
      </c>
      <c r="Y42" s="230">
        <f t="shared" si="12"/>
        <v>-18491.524729928457</v>
      </c>
      <c r="Z42" s="230">
        <f t="shared" si="13"/>
        <v>-11682.150109924994</v>
      </c>
      <c r="AA42" s="75">
        <f t="shared" si="23"/>
        <v>22</v>
      </c>
      <c r="AB42" s="75">
        <f t="shared" si="22"/>
        <v>508816</v>
      </c>
    </row>
    <row r="43" spans="1:28" s="75" customFormat="1">
      <c r="A43" s="76">
        <f t="shared" si="15"/>
        <v>46935</v>
      </c>
      <c r="B43" s="230">
        <f t="shared" si="1"/>
        <v>437982.37288956507</v>
      </c>
      <c r="K43" s="75">
        <v>36</v>
      </c>
      <c r="L43" s="230">
        <f t="shared" si="18"/>
        <v>64608.667124289903</v>
      </c>
      <c r="M43" s="230">
        <f t="shared" si="6"/>
        <v>-1982.0711995006197</v>
      </c>
      <c r="N43" s="230">
        <f t="shared" si="7"/>
        <v>-1982.0711995006197</v>
      </c>
      <c r="O43" s="75">
        <v>36</v>
      </c>
      <c r="P43" s="230">
        <f t="shared" si="19"/>
        <v>373373.70576527517</v>
      </c>
      <c r="Q43" s="230">
        <f t="shared" si="8"/>
        <v>-18719.278676185411</v>
      </c>
      <c r="R43" s="230">
        <f t="shared" si="9"/>
        <v>-11454.396163668041</v>
      </c>
      <c r="W43" s="75">
        <v>36</v>
      </c>
      <c r="X43" s="230">
        <f t="shared" si="20"/>
        <v>551502.64239170367</v>
      </c>
      <c r="Y43" s="230">
        <f t="shared" si="12"/>
        <v>-18719.278676185411</v>
      </c>
      <c r="Z43" s="230">
        <f t="shared" si="13"/>
        <v>-11454.396163668041</v>
      </c>
      <c r="AA43" s="75">
        <f t="shared" si="23"/>
        <v>21</v>
      </c>
      <c r="AB43" s="75">
        <f t="shared" si="22"/>
        <v>485688</v>
      </c>
    </row>
    <row r="44" spans="1:28" s="75" customFormat="1">
      <c r="A44" s="76">
        <f t="shared" si="15"/>
        <v>46966</v>
      </c>
      <c r="B44" s="230">
        <f t="shared" si="1"/>
        <v>402587.43880316417</v>
      </c>
      <c r="K44" s="75">
        <v>37</v>
      </c>
      <c r="L44" s="230">
        <f t="shared" si="18"/>
        <v>59387.4078777424</v>
      </c>
      <c r="M44" s="230">
        <f t="shared" si="6"/>
        <v>-1942.1752000544925</v>
      </c>
      <c r="N44" s="230">
        <f t="shared" si="7"/>
        <v>-1942.1752000544925</v>
      </c>
      <c r="O44" s="75">
        <v>37</v>
      </c>
      <c r="P44" s="230">
        <f t="shared" si="19"/>
        <v>343200.03092542174</v>
      </c>
      <c r="Q44" s="230">
        <f t="shared" si="8"/>
        <v>-18949.837791880425</v>
      </c>
      <c r="R44" s="230">
        <f t="shared" si="9"/>
        <v>-11223.837047973024</v>
      </c>
      <c r="W44" s="75">
        <v>37</v>
      </c>
      <c r="X44" s="230">
        <f t="shared" si="20"/>
        <v>521328.96755185025</v>
      </c>
      <c r="Y44" s="230">
        <f t="shared" si="12"/>
        <v>-18949.837791880425</v>
      </c>
      <c r="Z44" s="230">
        <f t="shared" si="13"/>
        <v>-11223.837047973024</v>
      </c>
      <c r="AA44" s="75">
        <f t="shared" si="23"/>
        <v>20</v>
      </c>
      <c r="AB44" s="75">
        <f t="shared" si="22"/>
        <v>462560</v>
      </c>
    </row>
    <row r="45" spans="1:28" s="75" customFormat="1">
      <c r="A45" s="76">
        <f t="shared" si="15"/>
        <v>46997</v>
      </c>
      <c r="B45" s="230">
        <f t="shared" si="1"/>
        <v>367192.50471676321</v>
      </c>
      <c r="K45" s="75">
        <v>38</v>
      </c>
      <c r="L45" s="230">
        <f t="shared" si="18"/>
        <v>54166.148631194897</v>
      </c>
      <c r="M45" s="230">
        <f t="shared" si="6"/>
        <v>-1901.7878148818538</v>
      </c>
      <c r="N45" s="230">
        <f t="shared" si="7"/>
        <v>-1901.7878148818538</v>
      </c>
      <c r="O45" s="75">
        <v>38</v>
      </c>
      <c r="P45" s="230">
        <f t="shared" si="19"/>
        <v>313026.35608556832</v>
      </c>
      <c r="Q45" s="230">
        <f t="shared" si="8"/>
        <v>-19183.236627350419</v>
      </c>
      <c r="R45" s="230">
        <f t="shared" si="9"/>
        <v>-10990.438212503032</v>
      </c>
      <c r="W45" s="75">
        <v>38</v>
      </c>
      <c r="X45" s="230">
        <f t="shared" si="20"/>
        <v>491155.29271199682</v>
      </c>
      <c r="Y45" s="230">
        <f t="shared" si="12"/>
        <v>-19183.236627350419</v>
      </c>
      <c r="Z45" s="230">
        <f t="shared" si="13"/>
        <v>-10990.438212503032</v>
      </c>
      <c r="AA45" s="75">
        <f t="shared" si="23"/>
        <v>19</v>
      </c>
      <c r="AB45" s="75">
        <f t="shared" si="22"/>
        <v>439432</v>
      </c>
    </row>
    <row r="46" spans="1:28" s="75" customFormat="1">
      <c r="A46" s="76">
        <f t="shared" si="15"/>
        <v>47027</v>
      </c>
      <c r="B46" s="230">
        <f t="shared" si="1"/>
        <v>331797.57063036226</v>
      </c>
      <c r="K46" s="75">
        <v>39</v>
      </c>
      <c r="L46" s="230">
        <f t="shared" si="18"/>
        <v>48944.889384647395</v>
      </c>
      <c r="M46" s="230">
        <f t="shared" si="6"/>
        <v>-1860.9029917485052</v>
      </c>
      <c r="N46" s="230">
        <f t="shared" si="7"/>
        <v>-1860.9029917485052</v>
      </c>
      <c r="O46" s="75">
        <v>39</v>
      </c>
      <c r="P46" s="230">
        <f t="shared" si="19"/>
        <v>282852.68124571489</v>
      </c>
      <c r="Q46" s="230">
        <f t="shared" si="8"/>
        <v>-19419.510158477286</v>
      </c>
      <c r="R46" s="230">
        <f t="shared" si="9"/>
        <v>-10754.164681376167</v>
      </c>
      <c r="W46" s="75">
        <v>39</v>
      </c>
      <c r="X46" s="230">
        <f t="shared" si="20"/>
        <v>460981.6178721434</v>
      </c>
      <c r="Y46" s="230">
        <f t="shared" si="12"/>
        <v>-19419.510158477286</v>
      </c>
      <c r="Z46" s="230">
        <f t="shared" si="13"/>
        <v>-10754.164681376167</v>
      </c>
      <c r="AA46" s="75">
        <f t="shared" si="23"/>
        <v>18</v>
      </c>
      <c r="AB46" s="75">
        <f t="shared" si="22"/>
        <v>416304</v>
      </c>
    </row>
    <row r="47" spans="1:28" s="75" customFormat="1">
      <c r="A47" s="76">
        <f t="shared" si="15"/>
        <v>47058</v>
      </c>
      <c r="B47" s="230">
        <f t="shared" si="1"/>
        <v>296402.63654396136</v>
      </c>
      <c r="K47" s="75">
        <v>40</v>
      </c>
      <c r="L47" s="230">
        <f t="shared" si="18"/>
        <v>43723.630138099892</v>
      </c>
      <c r="M47" s="230">
        <f t="shared" si="6"/>
        <v>-1819.5146038768976</v>
      </c>
      <c r="N47" s="230">
        <f t="shared" si="7"/>
        <v>-1819.5146038768976</v>
      </c>
      <c r="O47" s="75">
        <v>40</v>
      </c>
      <c r="P47" s="230">
        <f t="shared" si="19"/>
        <v>252679.00640586144</v>
      </c>
      <c r="Q47" s="230">
        <f t="shared" si="8"/>
        <v>-19658.6937919292</v>
      </c>
      <c r="R47" s="230">
        <f t="shared" si="9"/>
        <v>-10514.981047924253</v>
      </c>
      <c r="W47" s="75">
        <v>40</v>
      </c>
      <c r="X47" s="230">
        <f t="shared" si="20"/>
        <v>430807.94303228997</v>
      </c>
      <c r="Y47" s="230">
        <f t="shared" si="12"/>
        <v>-19658.6937919292</v>
      </c>
      <c r="Z47" s="230">
        <f t="shared" si="13"/>
        <v>-10514.981047924253</v>
      </c>
      <c r="AA47" s="75">
        <f t="shared" si="23"/>
        <v>17</v>
      </c>
      <c r="AB47" s="75">
        <f t="shared" si="22"/>
        <v>393176</v>
      </c>
    </row>
    <row r="48" spans="1:28" s="75" customFormat="1">
      <c r="A48" s="76">
        <f t="shared" si="15"/>
        <v>47088</v>
      </c>
      <c r="B48" s="230">
        <f t="shared" si="1"/>
        <v>261007.70245756037</v>
      </c>
      <c r="K48" s="75">
        <v>41</v>
      </c>
      <c r="L48" s="230">
        <f t="shared" si="18"/>
        <v>38502.370891552389</v>
      </c>
      <c r="M48" s="230">
        <f t="shared" si="6"/>
        <v>-1777.6164490280046</v>
      </c>
      <c r="N48" s="230">
        <f t="shared" si="7"/>
        <v>-1777.6164490280046</v>
      </c>
      <c r="O48" s="75">
        <v>41</v>
      </c>
      <c r="P48" s="230">
        <f t="shared" si="19"/>
        <v>222505.33156600798</v>
      </c>
      <c r="Q48" s="230">
        <f t="shared" si="8"/>
        <v>-19900.82337046646</v>
      </c>
      <c r="R48" s="230">
        <f t="shared" si="9"/>
        <v>-10272.851469386993</v>
      </c>
      <c r="W48" s="75">
        <v>41</v>
      </c>
      <c r="X48" s="230">
        <f t="shared" si="20"/>
        <v>400634.26819243655</v>
      </c>
      <c r="Y48" s="230">
        <f t="shared" si="12"/>
        <v>-19900.82337046646</v>
      </c>
      <c r="Z48" s="230">
        <f t="shared" si="13"/>
        <v>-10272.851469386993</v>
      </c>
      <c r="AA48" s="75">
        <f t="shared" si="23"/>
        <v>16</v>
      </c>
      <c r="AB48" s="75">
        <f t="shared" si="22"/>
        <v>370048</v>
      </c>
    </row>
    <row r="49" spans="1:28" s="75" customFormat="1">
      <c r="A49" s="76">
        <f t="shared" si="15"/>
        <v>47119</v>
      </c>
      <c r="B49" s="230">
        <f t="shared" si="1"/>
        <v>225612.76837115941</v>
      </c>
      <c r="K49" s="75">
        <v>42</v>
      </c>
      <c r="L49" s="230">
        <f t="shared" si="18"/>
        <v>33281.111645004887</v>
      </c>
      <c r="M49" s="230">
        <f t="shared" si="6"/>
        <v>-1735.2022485718892</v>
      </c>
      <c r="N49" s="230">
        <f t="shared" si="7"/>
        <v>-1735.2022485718892</v>
      </c>
      <c r="O49" s="75">
        <v>42</v>
      </c>
      <c r="P49" s="230">
        <f t="shared" si="19"/>
        <v>192331.65672615453</v>
      </c>
      <c r="Q49" s="230">
        <f t="shared" si="8"/>
        <v>-20145.935178312706</v>
      </c>
      <c r="R49" s="230">
        <f t="shared" si="9"/>
        <v>-10027.739661540747</v>
      </c>
      <c r="W49" s="75">
        <v>42</v>
      </c>
      <c r="X49" s="230">
        <f t="shared" si="20"/>
        <v>370460.59335258312</v>
      </c>
      <c r="Y49" s="230">
        <f t="shared" si="12"/>
        <v>-20145.935178312706</v>
      </c>
      <c r="Z49" s="230">
        <f t="shared" si="13"/>
        <v>-10027.739661540747</v>
      </c>
      <c r="AA49" s="75">
        <f t="shared" si="23"/>
        <v>15</v>
      </c>
      <c r="AB49" s="75">
        <f t="shared" si="22"/>
        <v>346920</v>
      </c>
    </row>
    <row r="50" spans="1:28" s="75" customFormat="1">
      <c r="A50" s="76">
        <f t="shared" si="15"/>
        <v>47150</v>
      </c>
      <c r="B50" s="230">
        <f t="shared" si="1"/>
        <v>190217.83428475846</v>
      </c>
      <c r="K50" s="75">
        <v>43</v>
      </c>
      <c r="L50" s="230">
        <f t="shared" si="18"/>
        <v>28059.852398457384</v>
      </c>
      <c r="M50" s="230">
        <f t="shared" si="6"/>
        <v>-1692.2656465468231</v>
      </c>
      <c r="N50" s="230">
        <f t="shared" si="7"/>
        <v>-1692.2656465468231</v>
      </c>
      <c r="O50" s="75">
        <v>43</v>
      </c>
      <c r="P50" s="230">
        <f t="shared" si="19"/>
        <v>162157.98188630107</v>
      </c>
      <c r="Q50" s="230">
        <f t="shared" si="8"/>
        <v>-20394.065946592254</v>
      </c>
      <c r="R50" s="230">
        <f t="shared" si="9"/>
        <v>-9779.6088932611965</v>
      </c>
      <c r="W50" s="75">
        <v>43</v>
      </c>
      <c r="X50" s="230">
        <f t="shared" si="20"/>
        <v>340286.9185127297</v>
      </c>
      <c r="Y50" s="230">
        <f t="shared" si="12"/>
        <v>-20394.065946592254</v>
      </c>
      <c r="Z50" s="230">
        <f t="shared" si="13"/>
        <v>-9779.6088932611965</v>
      </c>
      <c r="AA50" s="75">
        <f t="shared" si="23"/>
        <v>14</v>
      </c>
      <c r="AB50" s="75">
        <f t="shared" si="22"/>
        <v>323792</v>
      </c>
    </row>
    <row r="51" spans="1:28" s="75" customFormat="1">
      <c r="A51" s="76">
        <f t="shared" si="15"/>
        <v>47178</v>
      </c>
      <c r="B51" s="230">
        <f t="shared" si="1"/>
        <v>154822.9001983575</v>
      </c>
      <c r="K51" s="75">
        <v>44</v>
      </c>
      <c r="L51" s="230">
        <f t="shared" si="18"/>
        <v>22838.593151909881</v>
      </c>
      <c r="M51" s="230">
        <f t="shared" si="6"/>
        <v>-1648.8002087068146</v>
      </c>
      <c r="N51" s="230">
        <f t="shared" si="7"/>
        <v>-1648.8002087068146</v>
      </c>
      <c r="O51" s="75">
        <v>44</v>
      </c>
      <c r="P51" s="230">
        <f t="shared" si="19"/>
        <v>131984.30704644762</v>
      </c>
      <c r="Q51" s="230">
        <f t="shared" si="8"/>
        <v>-20645.25285883445</v>
      </c>
      <c r="R51" s="230">
        <f t="shared" si="9"/>
        <v>-9528.4219810190007</v>
      </c>
      <c r="W51" s="75">
        <v>44</v>
      </c>
      <c r="X51" s="230">
        <f t="shared" si="20"/>
        <v>310113.24367287627</v>
      </c>
      <c r="Y51" s="230">
        <f t="shared" si="12"/>
        <v>-20645.25285883445</v>
      </c>
      <c r="Z51" s="230">
        <f t="shared" si="13"/>
        <v>-9528.4219810190007</v>
      </c>
      <c r="AA51" s="75">
        <f t="shared" si="23"/>
        <v>13</v>
      </c>
      <c r="AB51" s="75">
        <f t="shared" si="22"/>
        <v>300664</v>
      </c>
    </row>
    <row r="52" spans="1:28" s="75" customFormat="1">
      <c r="A52" s="76">
        <f t="shared" si="15"/>
        <v>47209</v>
      </c>
      <c r="B52" s="230">
        <f t="shared" si="1"/>
        <v>119427.96611195654</v>
      </c>
      <c r="K52" s="75">
        <v>45</v>
      </c>
      <c r="L52" s="230">
        <f t="shared" si="18"/>
        <v>17617.333905362379</v>
      </c>
      <c r="M52" s="230">
        <f t="shared" si="6"/>
        <v>-1604.7994215574099</v>
      </c>
      <c r="N52" s="230">
        <f t="shared" si="7"/>
        <v>-1604.7994215574099</v>
      </c>
      <c r="O52" s="75">
        <v>45</v>
      </c>
      <c r="P52" s="230">
        <f t="shared" si="19"/>
        <v>101810.63220659416</v>
      </c>
      <c r="Q52" s="230">
        <f t="shared" si="8"/>
        <v>-20899.533556545761</v>
      </c>
      <c r="R52" s="230">
        <f t="shared" si="9"/>
        <v>-9274.1412833076884</v>
      </c>
      <c r="W52" s="75">
        <v>45</v>
      </c>
      <c r="X52" s="230">
        <f t="shared" si="20"/>
        <v>279939.56883302284</v>
      </c>
      <c r="Y52" s="230">
        <f t="shared" si="12"/>
        <v>-20899.533556545761</v>
      </c>
      <c r="Z52" s="230">
        <f t="shared" si="13"/>
        <v>-9274.1412833076884</v>
      </c>
      <c r="AA52" s="75">
        <f t="shared" si="23"/>
        <v>12</v>
      </c>
      <c r="AB52" s="75">
        <f t="shared" si="22"/>
        <v>277536</v>
      </c>
    </row>
    <row r="53" spans="1:28" s="75" customFormat="1">
      <c r="A53" s="76">
        <f t="shared" si="15"/>
        <v>47239</v>
      </c>
      <c r="B53" s="230">
        <f t="shared" si="1"/>
        <v>84033.032025555585</v>
      </c>
      <c r="K53" s="75">
        <v>46</v>
      </c>
      <c r="L53" s="230">
        <f t="shared" si="18"/>
        <v>12396.074658814876</v>
      </c>
      <c r="M53" s="230">
        <f t="shared" si="6"/>
        <v>-1560.2566913796156</v>
      </c>
      <c r="N53" s="230">
        <f t="shared" si="7"/>
        <v>-1560.2566913796156</v>
      </c>
      <c r="O53" s="75">
        <v>46</v>
      </c>
      <c r="P53" s="230">
        <f t="shared" si="19"/>
        <v>71636.957366740709</v>
      </c>
      <c r="Q53" s="230">
        <f t="shared" si="8"/>
        <v>-21156.94614485055</v>
      </c>
      <c r="R53" s="230">
        <f t="shared" si="9"/>
        <v>-9016.7286950029029</v>
      </c>
      <c r="W53" s="75">
        <v>46</v>
      </c>
      <c r="X53" s="230">
        <f t="shared" si="20"/>
        <v>249765.89399316939</v>
      </c>
      <c r="Y53" s="230">
        <f t="shared" si="12"/>
        <v>-21156.94614485055</v>
      </c>
      <c r="Z53" s="230">
        <f t="shared" si="13"/>
        <v>-9016.7286950029029</v>
      </c>
      <c r="AA53" s="75">
        <f t="shared" si="23"/>
        <v>11</v>
      </c>
      <c r="AB53" s="75">
        <f t="shared" si="22"/>
        <v>254408</v>
      </c>
    </row>
    <row r="54" spans="1:28" s="75" customFormat="1">
      <c r="A54" s="76">
        <f t="shared" si="15"/>
        <v>47270</v>
      </c>
      <c r="B54" s="230">
        <f t="shared" si="1"/>
        <v>48638.097939154628</v>
      </c>
      <c r="K54" s="75">
        <v>47</v>
      </c>
      <c r="L54" s="230">
        <f t="shared" si="18"/>
        <v>7174.8154122673732</v>
      </c>
      <c r="M54" s="230">
        <f t="shared" si="6"/>
        <v>-1515.1653432417977</v>
      </c>
      <c r="N54" s="230">
        <f t="shared" si="7"/>
        <v>-1515.1653432417977</v>
      </c>
      <c r="O54" s="75">
        <v>47</v>
      </c>
      <c r="P54" s="230">
        <f t="shared" si="19"/>
        <v>41463.282526887255</v>
      </c>
      <c r="Q54" s="230">
        <f t="shared" si="8"/>
        <v>-21417.529198201293</v>
      </c>
      <c r="R54" s="230">
        <f t="shared" si="9"/>
        <v>-8756.1456416521596</v>
      </c>
      <c r="W54" s="75">
        <v>47</v>
      </c>
      <c r="X54" s="230">
        <f t="shared" si="20"/>
        <v>219592.21915331593</v>
      </c>
      <c r="Y54" s="230">
        <f t="shared" si="12"/>
        <v>-21417.529198201293</v>
      </c>
      <c r="Z54" s="230">
        <f t="shared" si="13"/>
        <v>-8756.1456416521596</v>
      </c>
      <c r="AA54" s="75">
        <f t="shared" si="23"/>
        <v>10</v>
      </c>
      <c r="AB54" s="75">
        <f t="shared" si="22"/>
        <v>231280</v>
      </c>
    </row>
    <row r="55" spans="1:28" s="75" customFormat="1">
      <c r="A55" s="76">
        <f t="shared" si="15"/>
        <v>47300</v>
      </c>
      <c r="B55" s="230">
        <f t="shared" si="1"/>
        <v>13243.163852753674</v>
      </c>
      <c r="K55" s="75">
        <v>48</v>
      </c>
      <c r="L55" s="230">
        <f t="shared" si="18"/>
        <v>1953.5561657198705</v>
      </c>
      <c r="M55" s="230">
        <f t="shared" si="6"/>
        <v>-1469.5186199994159</v>
      </c>
      <c r="N55" s="230">
        <f t="shared" si="7"/>
        <v>-1469.5186199994159</v>
      </c>
      <c r="O55" s="75">
        <v>48</v>
      </c>
      <c r="P55" s="230">
        <f t="shared" si="19"/>
        <v>11289.607687033804</v>
      </c>
      <c r="Q55" s="230">
        <f t="shared" si="8"/>
        <v>-21681.321766159141</v>
      </c>
      <c r="R55" s="230">
        <f t="shared" si="9"/>
        <v>-8492.3530736943139</v>
      </c>
      <c r="W55" s="75">
        <v>48</v>
      </c>
      <c r="X55" s="230">
        <f t="shared" si="20"/>
        <v>189418.54431346248</v>
      </c>
      <c r="Y55" s="230">
        <f t="shared" si="12"/>
        <v>-21681.321766159141</v>
      </c>
      <c r="Z55" s="230">
        <f t="shared" si="13"/>
        <v>-8492.3530736943139</v>
      </c>
      <c r="AA55" s="75">
        <f t="shared" si="23"/>
        <v>9</v>
      </c>
      <c r="AB55" s="75">
        <f t="shared" si="22"/>
        <v>208152</v>
      </c>
    </row>
    <row r="56" spans="1:28" s="75" customFormat="1">
      <c r="A56" s="76">
        <f t="shared" si="15"/>
        <v>47331</v>
      </c>
      <c r="B56" s="230">
        <f t="shared" si="1"/>
        <v>-22151.770233647279</v>
      </c>
      <c r="K56" s="75">
        <v>49</v>
      </c>
      <c r="L56" s="230">
        <f t="shared" si="18"/>
        <v>-3267.7030808276322</v>
      </c>
      <c r="M56" s="230">
        <f t="shared" si="6"/>
        <v>-1423.3096812824317</v>
      </c>
      <c r="N56" s="230">
        <f t="shared" si="7"/>
        <v>-1423.3096812824317</v>
      </c>
      <c r="O56" s="75">
        <v>49</v>
      </c>
      <c r="P56" s="230">
        <f t="shared" si="19"/>
        <v>-18884.067152819647</v>
      </c>
      <c r="Q56" s="230">
        <f t="shared" si="8"/>
        <v>-21948.363379245668</v>
      </c>
      <c r="R56" s="230">
        <f t="shared" si="9"/>
        <v>-8225.3114606077852</v>
      </c>
      <c r="W56" s="75">
        <v>49</v>
      </c>
      <c r="X56" s="230">
        <f t="shared" si="20"/>
        <v>159244.86947360903</v>
      </c>
      <c r="Y56" s="230">
        <f t="shared" si="12"/>
        <v>-21948.363379245668</v>
      </c>
      <c r="Z56" s="230">
        <f t="shared" si="13"/>
        <v>-8225.3114606077852</v>
      </c>
      <c r="AA56" s="75">
        <f t="shared" si="23"/>
        <v>8</v>
      </c>
      <c r="AB56" s="75">
        <f t="shared" si="22"/>
        <v>185024</v>
      </c>
    </row>
    <row r="57" spans="1:28" s="75" customFormat="1">
      <c r="A57" s="76">
        <f t="shared" si="15"/>
        <v>47362</v>
      </c>
      <c r="B57" s="230">
        <f t="shared" si="1"/>
        <v>-57546.704320048229</v>
      </c>
      <c r="K57" s="75">
        <v>50</v>
      </c>
      <c r="L57" s="230">
        <f t="shared" si="18"/>
        <v>-8488.9623273751349</v>
      </c>
      <c r="M57" s="230">
        <f t="shared" si="6"/>
        <v>-1376.5316024702504</v>
      </c>
      <c r="N57" s="230">
        <f t="shared" si="7"/>
        <v>-1376.5316024702504</v>
      </c>
      <c r="O57" s="75">
        <v>50</v>
      </c>
      <c r="P57" s="230">
        <f t="shared" si="19"/>
        <v>-49057.741992673095</v>
      </c>
      <c r="Q57" s="230">
        <f t="shared" si="8"/>
        <v>-22218.694054866704</v>
      </c>
      <c r="R57" s="230">
        <f t="shared" si="9"/>
        <v>-7954.9807849867439</v>
      </c>
      <c r="W57" s="75">
        <v>50</v>
      </c>
      <c r="X57" s="230">
        <f t="shared" si="20"/>
        <v>129071.19463375557</v>
      </c>
      <c r="Y57" s="230">
        <f t="shared" si="12"/>
        <v>-22218.694054866704</v>
      </c>
      <c r="Z57" s="230">
        <f t="shared" si="13"/>
        <v>-7954.9807849867439</v>
      </c>
      <c r="AA57" s="75">
        <f t="shared" si="23"/>
        <v>7</v>
      </c>
      <c r="AB57" s="75">
        <f t="shared" si="22"/>
        <v>161896</v>
      </c>
    </row>
    <row r="58" spans="1:28" s="75" customFormat="1">
      <c r="A58" s="76">
        <f t="shared" si="15"/>
        <v>47392</v>
      </c>
      <c r="B58" s="230">
        <f t="shared" si="1"/>
        <v>-92941.638406449187</v>
      </c>
      <c r="K58" s="75">
        <v>51</v>
      </c>
      <c r="L58" s="230">
        <f t="shared" si="18"/>
        <v>-13710.221573922638</v>
      </c>
      <c r="M58" s="230">
        <f t="shared" si="6"/>
        <v>-1329.1773736540324</v>
      </c>
      <c r="N58" s="230">
        <f t="shared" si="7"/>
        <v>-1329.1773736540324</v>
      </c>
      <c r="O58" s="75">
        <v>51</v>
      </c>
      <c r="P58" s="230">
        <f t="shared" si="19"/>
        <v>-79231.416832526549</v>
      </c>
      <c r="Q58" s="230">
        <f t="shared" si="8"/>
        <v>-22492.354303309148</v>
      </c>
      <c r="R58" s="230">
        <f t="shared" si="9"/>
        <v>-7681.3205365443027</v>
      </c>
      <c r="W58" s="75">
        <v>51</v>
      </c>
      <c r="X58" s="230">
        <f t="shared" si="20"/>
        <v>98897.519793902116</v>
      </c>
      <c r="Y58" s="230">
        <f t="shared" si="12"/>
        <v>-22492.354303309148</v>
      </c>
      <c r="Z58" s="230">
        <f t="shared" si="13"/>
        <v>-7681.3205365443027</v>
      </c>
      <c r="AA58" s="75">
        <f t="shared" si="23"/>
        <v>6</v>
      </c>
      <c r="AB58" s="75">
        <f t="shared" si="22"/>
        <v>138768</v>
      </c>
    </row>
    <row r="59" spans="1:28" s="75" customFormat="1">
      <c r="A59" s="76">
        <f t="shared" si="15"/>
        <v>47423</v>
      </c>
      <c r="B59" s="230">
        <f t="shared" si="1"/>
        <v>-128336.57249285014</v>
      </c>
      <c r="K59" s="75">
        <v>52</v>
      </c>
      <c r="L59" s="230">
        <f t="shared" si="18"/>
        <v>-18931.48082047014</v>
      </c>
      <c r="M59" s="230">
        <f t="shared" si="6"/>
        <v>-1281.2398985862278</v>
      </c>
      <c r="N59" s="230">
        <f t="shared" si="7"/>
        <v>-1281.2398985862278</v>
      </c>
      <c r="O59" s="75">
        <v>52</v>
      </c>
      <c r="P59" s="230">
        <f t="shared" si="19"/>
        <v>-109405.09167238</v>
      </c>
      <c r="Q59" s="230">
        <f t="shared" si="8"/>
        <v>-22769.385133811575</v>
      </c>
      <c r="R59" s="230">
        <f t="shared" si="9"/>
        <v>-7404.2897060418791</v>
      </c>
      <c r="W59" s="75">
        <v>52</v>
      </c>
      <c r="X59" s="230">
        <f t="shared" si="20"/>
        <v>68723.844954048662</v>
      </c>
      <c r="Y59" s="230">
        <f t="shared" si="12"/>
        <v>-22769.385133811575</v>
      </c>
      <c r="Z59" s="230">
        <f t="shared" si="13"/>
        <v>-7404.2897060418791</v>
      </c>
      <c r="AA59" s="75">
        <f t="shared" si="23"/>
        <v>5</v>
      </c>
      <c r="AB59" s="75">
        <f t="shared" si="22"/>
        <v>115640</v>
      </c>
    </row>
    <row r="60" spans="1:28" s="75" customFormat="1">
      <c r="A60" s="76">
        <f t="shared" si="15"/>
        <v>47453</v>
      </c>
      <c r="B60" s="230">
        <f t="shared" si="1"/>
        <v>-163731.50657925109</v>
      </c>
      <c r="K60" s="75">
        <v>53</v>
      </c>
      <c r="L60" s="230">
        <f t="shared" si="18"/>
        <v>-24152.740067017643</v>
      </c>
      <c r="M60" s="230">
        <f t="shared" si="6"/>
        <v>-1232.7119936171714</v>
      </c>
      <c r="N60" s="230">
        <f t="shared" si="7"/>
        <v>-1232.7119936171714</v>
      </c>
      <c r="O60" s="75">
        <v>53</v>
      </c>
      <c r="P60" s="230">
        <f t="shared" si="19"/>
        <v>-139578.76651223344</v>
      </c>
      <c r="Q60" s="230">
        <f t="shared" si="8"/>
        <v>-23049.828060709686</v>
      </c>
      <c r="R60" s="230">
        <f t="shared" si="9"/>
        <v>-7123.8467791437661</v>
      </c>
      <c r="W60" s="75">
        <v>53</v>
      </c>
      <c r="X60" s="230">
        <f t="shared" si="20"/>
        <v>38550.170114195207</v>
      </c>
      <c r="Y60" s="230">
        <f t="shared" si="12"/>
        <v>-23049.828060709686</v>
      </c>
      <c r="Z60" s="230">
        <f t="shared" si="13"/>
        <v>-7123.8467791437661</v>
      </c>
      <c r="AA60" s="75">
        <f t="shared" si="23"/>
        <v>4</v>
      </c>
      <c r="AB60" s="75">
        <f t="shared" si="22"/>
        <v>92512</v>
      </c>
    </row>
    <row r="61" spans="1:28" s="75" customFormat="1">
      <c r="A61" s="76">
        <f t="shared" si="15"/>
        <v>47484</v>
      </c>
      <c r="B61" s="230">
        <f t="shared" si="1"/>
        <v>-199126.44066565204</v>
      </c>
      <c r="K61" s="75">
        <v>54</v>
      </c>
      <c r="L61" s="230">
        <f t="shared" si="18"/>
        <v>-29373.999313565146</v>
      </c>
      <c r="M61" s="230">
        <f t="shared" si="6"/>
        <v>-1183.5863866185796</v>
      </c>
      <c r="N61" s="230">
        <f t="shared" si="7"/>
        <v>-1183.5863866185796</v>
      </c>
      <c r="O61" s="75">
        <v>54</v>
      </c>
      <c r="P61" s="230">
        <f t="shared" si="19"/>
        <v>-169752.4413520869</v>
      </c>
      <c r="Q61" s="230">
        <f t="shared" si="8"/>
        <v>-23333.725109657425</v>
      </c>
      <c r="R61" s="230">
        <f t="shared" si="9"/>
        <v>-6839.9497301960255</v>
      </c>
      <c r="W61" s="75">
        <v>54</v>
      </c>
      <c r="X61" s="230">
        <f t="shared" si="20"/>
        <v>8376.4952743417562</v>
      </c>
      <c r="Y61" s="230">
        <f t="shared" si="12"/>
        <v>-23333.725109657425</v>
      </c>
      <c r="Z61" s="230">
        <f t="shared" si="13"/>
        <v>-6839.9497301960255</v>
      </c>
      <c r="AA61" s="75">
        <f t="shared" si="23"/>
        <v>3</v>
      </c>
      <c r="AB61" s="75">
        <f t="shared" si="22"/>
        <v>69384</v>
      </c>
    </row>
    <row r="62" spans="1:28" s="75" customFormat="1">
      <c r="A62" s="76">
        <f t="shared" si="15"/>
        <v>47515</v>
      </c>
      <c r="B62" s="230">
        <f t="shared" si="1"/>
        <v>-234521.374752053</v>
      </c>
      <c r="K62" s="75">
        <v>55</v>
      </c>
      <c r="L62" s="230">
        <f t="shared" si="18"/>
        <v>-34595.258560112648</v>
      </c>
      <c r="M62" s="230">
        <f t="shared" si="6"/>
        <v>-1133.8557158937881</v>
      </c>
      <c r="N62" s="230">
        <f t="shared" si="7"/>
        <v>-1133.8557158937881</v>
      </c>
      <c r="O62" s="75">
        <v>55</v>
      </c>
      <c r="P62" s="230">
        <f t="shared" si="19"/>
        <v>-199926.11619194035</v>
      </c>
      <c r="Q62" s="230">
        <f t="shared" si="8"/>
        <v>-23621.118823924709</v>
      </c>
      <c r="R62" s="230">
        <f t="shared" si="9"/>
        <v>-6552.5560159287434</v>
      </c>
      <c r="W62" s="75">
        <v>55</v>
      </c>
      <c r="X62" s="230">
        <f t="shared" si="20"/>
        <v>-21797.179565511695</v>
      </c>
      <c r="Y62" s="230">
        <f t="shared" si="12"/>
        <v>-23621.118823924709</v>
      </c>
      <c r="Z62" s="230">
        <f t="shared" si="13"/>
        <v>-6552.5560159287434</v>
      </c>
      <c r="AA62" s="75">
        <f t="shared" si="23"/>
        <v>2</v>
      </c>
      <c r="AB62" s="75">
        <f t="shared" si="22"/>
        <v>46256</v>
      </c>
    </row>
    <row r="63" spans="1:28" s="75" customFormat="1">
      <c r="A63" s="76">
        <f t="shared" si="15"/>
        <v>47543</v>
      </c>
      <c r="B63" s="230">
        <f t="shared" si="1"/>
        <v>-269916.30883845396</v>
      </c>
      <c r="K63" s="75">
        <v>56</v>
      </c>
      <c r="L63" s="230">
        <f t="shared" si="18"/>
        <v>-39816.517806660151</v>
      </c>
      <c r="M63" s="230">
        <f t="shared" si="6"/>
        <v>-1083.5125290745698</v>
      </c>
      <c r="N63" s="230">
        <f t="shared" si="7"/>
        <v>-1083.5125290745698</v>
      </c>
      <c r="O63" s="75">
        <v>56</v>
      </c>
      <c r="P63" s="230">
        <f t="shared" si="19"/>
        <v>-230099.79103179381</v>
      </c>
      <c r="Q63" s="230">
        <f t="shared" si="8"/>
        <v>-23912.052270772714</v>
      </c>
      <c r="R63" s="230">
        <f t="shared" si="9"/>
        <v>-6261.6225690807369</v>
      </c>
      <c r="W63" s="75">
        <v>56</v>
      </c>
      <c r="X63" s="230">
        <f t="shared" si="20"/>
        <v>-51970.854405365142</v>
      </c>
      <c r="Y63" s="230">
        <f t="shared" si="12"/>
        <v>-23912.052270772714</v>
      </c>
      <c r="Z63" s="230">
        <f t="shared" si="13"/>
        <v>-6261.6225690807369</v>
      </c>
      <c r="AA63" s="75">
        <f t="shared" si="23"/>
        <v>1</v>
      </c>
      <c r="AB63" s="75">
        <f t="shared" si="22"/>
        <v>23128</v>
      </c>
    </row>
    <row r="64" spans="1:28" s="75" customFormat="1">
      <c r="A64" s="76">
        <f t="shared" si="15"/>
        <v>47574</v>
      </c>
      <c r="B64" s="230">
        <f t="shared" si="1"/>
        <v>-305311.24292485492</v>
      </c>
      <c r="K64" s="75">
        <v>57</v>
      </c>
      <c r="L64" s="230">
        <f t="shared" si="18"/>
        <v>-45037.777053207654</v>
      </c>
      <c r="M64" s="230">
        <f t="shared" si="6"/>
        <v>-1032.5492820043617</v>
      </c>
      <c r="N64" s="230">
        <f t="shared" si="7"/>
        <v>-1032.5492820043617</v>
      </c>
      <c r="O64" s="75">
        <v>57</v>
      </c>
      <c r="P64" s="230">
        <f t="shared" si="19"/>
        <v>-260273.46587164726</v>
      </c>
      <c r="Q64" s="230">
        <f t="shared" si="8"/>
        <v>-24206.569047907731</v>
      </c>
      <c r="R64" s="230">
        <f t="shared" si="9"/>
        <v>-5967.1057919457207</v>
      </c>
      <c r="W64" s="75">
        <v>57</v>
      </c>
      <c r="X64" s="230">
        <f t="shared" si="20"/>
        <v>-82144.529245218597</v>
      </c>
      <c r="Y64" s="230">
        <f t="shared" si="12"/>
        <v>-24206.569047907731</v>
      </c>
      <c r="Z64" s="230">
        <f t="shared" si="13"/>
        <v>-5967.1057919457207</v>
      </c>
      <c r="AA64" s="75">
        <f t="shared" si="23"/>
        <v>0</v>
      </c>
      <c r="AB64" s="75">
        <f t="shared" si="22"/>
        <v>0</v>
      </c>
    </row>
    <row r="65" spans="1:26" s="75" customFormat="1">
      <c r="A65" s="76">
        <f t="shared" si="15"/>
        <v>47604</v>
      </c>
      <c r="B65" s="230">
        <f t="shared" si="1"/>
        <v>-340706.17701125587</v>
      </c>
      <c r="K65" s="75">
        <v>58</v>
      </c>
      <c r="L65" s="230">
        <f t="shared" si="18"/>
        <v>-50259.036299755157</v>
      </c>
      <c r="M65" s="230">
        <f t="shared" si="6"/>
        <v>-980.95833760773871</v>
      </c>
      <c r="N65" s="230">
        <f t="shared" si="7"/>
        <v>-980.95833760773871</v>
      </c>
      <c r="O65" s="75">
        <v>58</v>
      </c>
      <c r="P65" s="230">
        <f t="shared" si="19"/>
        <v>-290447.14071150072</v>
      </c>
      <c r="Q65" s="230">
        <f t="shared" si="8"/>
        <v>-24504.713290014464</v>
      </c>
      <c r="R65" s="230">
        <f t="shared" si="9"/>
        <v>-5668.9615498389903</v>
      </c>
      <c r="W65" s="75">
        <v>58</v>
      </c>
      <c r="X65" s="230">
        <f t="shared" si="20"/>
        <v>-112318.20408507205</v>
      </c>
      <c r="Y65" s="230">
        <f t="shared" si="12"/>
        <v>-24504.713290014464</v>
      </c>
      <c r="Z65" s="230">
        <f t="shared" si="13"/>
        <v>-5668.9615498389903</v>
      </c>
    </row>
    <row r="66" spans="1:26" s="75" customFormat="1">
      <c r="A66" s="76">
        <f t="shared" si="15"/>
        <v>47635</v>
      </c>
      <c r="B66" s="230">
        <f t="shared" si="1"/>
        <v>-376101.11109765677</v>
      </c>
      <c r="K66" s="75">
        <v>59</v>
      </c>
      <c r="L66" s="230">
        <f t="shared" si="18"/>
        <v>-55480.295546302659</v>
      </c>
      <c r="M66" s="230">
        <f t="shared" si="6"/>
        <v>-928.73196474596375</v>
      </c>
      <c r="N66" s="230">
        <f t="shared" si="7"/>
        <v>-928.73196474596375</v>
      </c>
      <c r="O66" s="75">
        <v>59</v>
      </c>
      <c r="P66" s="230">
        <f t="shared" si="19"/>
        <v>-320620.81555135414</v>
      </c>
      <c r="Q66" s="230">
        <f t="shared" si="8"/>
        <v>-24806.529675369806</v>
      </c>
      <c r="R66" s="230">
        <f t="shared" si="9"/>
        <v>-5367.1451644836452</v>
      </c>
      <c r="W66" s="75">
        <v>59</v>
      </c>
      <c r="X66" s="230">
        <f t="shared" si="20"/>
        <v>-142491.87892492549</v>
      </c>
      <c r="Y66" s="230">
        <f t="shared" si="12"/>
        <v>-24806.529675369806</v>
      </c>
      <c r="Z66" s="230">
        <f t="shared" si="13"/>
        <v>-5367.1451644836452</v>
      </c>
    </row>
    <row r="67" spans="1:26" s="75" customFormat="1">
      <c r="A67" s="76">
        <f t="shared" si="15"/>
        <v>47665</v>
      </c>
      <c r="B67" s="230">
        <f t="shared" si="1"/>
        <v>-411496.04518405773</v>
      </c>
      <c r="K67" s="75">
        <v>60</v>
      </c>
      <c r="L67" s="230">
        <f t="shared" si="18"/>
        <v>-60701.554792850162</v>
      </c>
      <c r="M67" s="230">
        <f t="shared" si="6"/>
        <v>-875.86233705844143</v>
      </c>
      <c r="N67" s="230">
        <f t="shared" si="7"/>
        <v>-875.86233705844143</v>
      </c>
      <c r="O67" s="75">
        <v>60</v>
      </c>
      <c r="P67" s="230">
        <f t="shared" si="19"/>
        <v>-350794.49039120757</v>
      </c>
      <c r="Q67" s="230">
        <f t="shared" si="8"/>
        <v>-25112.063432538114</v>
      </c>
      <c r="R67" s="230">
        <f t="shared" si="9"/>
        <v>-5061.6114073153403</v>
      </c>
      <c r="W67" s="75">
        <v>60</v>
      </c>
      <c r="X67" s="230">
        <f t="shared" si="20"/>
        <v>-172665.55376477895</v>
      </c>
      <c r="Y67" s="230">
        <f t="shared" si="12"/>
        <v>-25112.063432538114</v>
      </c>
      <c r="Z67" s="230">
        <f t="shared" si="13"/>
        <v>-5061.6114073153403</v>
      </c>
    </row>
    <row r="68" spans="1:26" s="75" customFormat="1">
      <c r="A68" s="76">
        <f t="shared" si="15"/>
        <v>47696</v>
      </c>
      <c r="B68" s="230">
        <f t="shared" si="1"/>
        <v>-446890.97927045869</v>
      </c>
      <c r="K68" s="75">
        <v>61</v>
      </c>
      <c r="L68" s="230">
        <f t="shared" si="18"/>
        <v>-65922.814039397665</v>
      </c>
      <c r="M68" s="230">
        <f t="shared" si="6"/>
        <v>-822.34153178990118</v>
      </c>
      <c r="N68" s="230">
        <f t="shared" si="7"/>
        <v>-822.34153178990118</v>
      </c>
      <c r="O68" s="75">
        <v>61</v>
      </c>
      <c r="P68" s="230">
        <f t="shared" si="19"/>
        <v>-380968.16523106099</v>
      </c>
      <c r="Q68" s="230">
        <f t="shared" si="8"/>
        <v>-25421.360347148871</v>
      </c>
      <c r="R68" s="230">
        <f t="shared" si="9"/>
        <v>-4752.3144927045796</v>
      </c>
      <c r="W68" s="75">
        <v>61</v>
      </c>
      <c r="X68" s="230">
        <f t="shared" si="20"/>
        <v>-202839.2286046324</v>
      </c>
      <c r="Y68" s="230">
        <f t="shared" si="12"/>
        <v>-25421.360347148871</v>
      </c>
      <c r="Z68" s="230">
        <f t="shared" si="13"/>
        <v>-4752.3144927045796</v>
      </c>
    </row>
    <row r="69" spans="1:26" s="75" customFormat="1">
      <c r="A69" s="76">
        <f t="shared" si="15"/>
        <v>47727</v>
      </c>
      <c r="B69" s="230">
        <f t="shared" si="1"/>
        <v>-482285.91335685959</v>
      </c>
      <c r="K69" s="75">
        <v>62</v>
      </c>
      <c r="L69" s="230">
        <f t="shared" si="18"/>
        <v>-71144.073285945167</v>
      </c>
      <c r="M69" s="230">
        <f t="shared" si="6"/>
        <v>-768.16152860313684</v>
      </c>
      <c r="N69" s="230">
        <f t="shared" si="7"/>
        <v>-768.16152860313684</v>
      </c>
      <c r="O69" s="75">
        <v>62</v>
      </c>
      <c r="P69" s="230">
        <f t="shared" si="19"/>
        <v>-411141.84007091442</v>
      </c>
      <c r="Q69" s="230">
        <f t="shared" si="8"/>
        <v>-25734.466768757924</v>
      </c>
      <c r="R69" s="230">
        <f t="shared" si="9"/>
        <v>-4439.2080710955297</v>
      </c>
      <c r="W69" s="75">
        <v>62</v>
      </c>
      <c r="X69" s="230">
        <f t="shared" si="20"/>
        <v>-233012.90344448586</v>
      </c>
      <c r="Y69" s="230">
        <f t="shared" si="12"/>
        <v>-25734.466768757924</v>
      </c>
      <c r="Z69" s="230">
        <f t="shared" si="13"/>
        <v>-4439.2080710955297</v>
      </c>
    </row>
    <row r="70" spans="1:26" s="75" customFormat="1">
      <c r="A70" s="76">
        <f t="shared" si="15"/>
        <v>47757</v>
      </c>
      <c r="B70" s="230">
        <f t="shared" si="1"/>
        <v>-517680.84744326049</v>
      </c>
      <c r="K70" s="75">
        <v>63</v>
      </c>
      <c r="L70" s="230">
        <f t="shared" si="18"/>
        <v>-76365.33253249267</v>
      </c>
      <c r="M70" s="230">
        <f t="shared" si="6"/>
        <v>-713.31420837712199</v>
      </c>
      <c r="N70" s="230">
        <f t="shared" si="7"/>
        <v>-713.31420837712199</v>
      </c>
      <c r="O70" s="75">
        <v>63</v>
      </c>
      <c r="P70" s="230">
        <f t="shared" si="19"/>
        <v>-441315.51491076784</v>
      </c>
      <c r="Q70" s="230">
        <f t="shared" si="8"/>
        <v>-26051.429617793125</v>
      </c>
      <c r="R70" s="230">
        <f t="shared" si="9"/>
        <v>-4122.2452220603273</v>
      </c>
      <c r="W70" s="75">
        <v>63</v>
      </c>
      <c r="X70" s="230">
        <f t="shared" si="20"/>
        <v>-263186.57828433928</v>
      </c>
      <c r="Y70" s="230">
        <f t="shared" si="12"/>
        <v>-26051.429617793125</v>
      </c>
      <c r="Z70" s="230">
        <f t="shared" si="13"/>
        <v>-4122.2452220603273</v>
      </c>
    </row>
    <row r="71" spans="1:26" s="75" customFormat="1">
      <c r="A71" s="76">
        <f t="shared" si="15"/>
        <v>47788</v>
      </c>
      <c r="B71" s="230">
        <f t="shared" si="1"/>
        <v>-553075.7815296615</v>
      </c>
      <c r="K71" s="75">
        <v>64</v>
      </c>
      <c r="L71" s="230">
        <f t="shared" si="18"/>
        <v>-81586.591779040173</v>
      </c>
      <c r="M71" s="230">
        <f t="shared" si="6"/>
        <v>-657.79135199032362</v>
      </c>
      <c r="N71" s="230">
        <f t="shared" si="7"/>
        <v>-657.79135199032362</v>
      </c>
      <c r="O71" s="75">
        <v>64</v>
      </c>
      <c r="P71" s="230">
        <f t="shared" si="19"/>
        <v>-471489.18975062127</v>
      </c>
      <c r="Q71" s="230">
        <f t="shared" si="8"/>
        <v>-26372.296392585609</v>
      </c>
      <c r="R71" s="230">
        <f t="shared" si="9"/>
        <v>-3801.3784472678431</v>
      </c>
      <c r="W71" s="75">
        <v>64</v>
      </c>
      <c r="X71" s="230">
        <f t="shared" si="20"/>
        <v>-293360.25312419271</v>
      </c>
      <c r="Y71" s="230">
        <f t="shared" si="12"/>
        <v>-26372.296392585609</v>
      </c>
      <c r="Z71" s="230">
        <f t="shared" si="13"/>
        <v>-3801.3784472678431</v>
      </c>
    </row>
    <row r="72" spans="1:26" s="75" customFormat="1">
      <c r="A72" s="76">
        <f t="shared" si="15"/>
        <v>47818</v>
      </c>
      <c r="B72" s="230">
        <f t="shared" si="1"/>
        <v>-588470.7156160624</v>
      </c>
      <c r="K72" s="75">
        <v>65</v>
      </c>
      <c r="L72" s="230">
        <f t="shared" si="18"/>
        <v>-86807.851025587675</v>
      </c>
      <c r="M72" s="230">
        <f t="shared" si="6"/>
        <v>-601.58463908902752</v>
      </c>
      <c r="N72" s="230">
        <f t="shared" si="7"/>
        <v>-601.58463908902752</v>
      </c>
      <c r="O72" s="75">
        <v>65</v>
      </c>
      <c r="P72" s="230">
        <f t="shared" si="19"/>
        <v>-501662.8645904747</v>
      </c>
      <c r="Q72" s="230">
        <f t="shared" si="8"/>
        <v>-26697.115176487623</v>
      </c>
      <c r="R72" s="230">
        <f t="shared" si="9"/>
        <v>-3476.5596633658297</v>
      </c>
      <c r="W72" s="75">
        <v>65</v>
      </c>
      <c r="X72" s="230">
        <f t="shared" si="20"/>
        <v>-323533.92796404613</v>
      </c>
      <c r="Y72" s="230">
        <f t="shared" si="12"/>
        <v>-26697.115176487623</v>
      </c>
      <c r="Z72" s="230">
        <f t="shared" si="13"/>
        <v>-3476.5596633658297</v>
      </c>
    </row>
    <row r="73" spans="1:26" s="75" customFormat="1">
      <c r="A73" s="76">
        <f t="shared" si="15"/>
        <v>47849</v>
      </c>
      <c r="B73" s="230">
        <f t="shared" ref="B73:B81" si="24">D73+H73+L73+P73+T73</f>
        <v>-623865.6497024633</v>
      </c>
      <c r="K73" s="75">
        <v>66</v>
      </c>
      <c r="L73" s="230">
        <f t="shared" si="18"/>
        <v>-92029.110272135178</v>
      </c>
      <c r="M73" s="230">
        <f t="shared" ref="M73:M81" si="25">IPMT($K$3/12,K73,$K$4,$K$2)</f>
        <v>-544.68564684049738</v>
      </c>
      <c r="N73" s="230">
        <f t="shared" ref="N73:N81" si="26">IPMT($K$3/12,K73,$K$4,$K$2)</f>
        <v>-544.68564684049738</v>
      </c>
      <c r="O73" s="75">
        <v>66</v>
      </c>
      <c r="P73" s="230">
        <f t="shared" si="19"/>
        <v>-531836.53943032818</v>
      </c>
      <c r="Q73" s="230">
        <f t="shared" ref="Q73:Q81" si="27">PPMT($O$3/12,O73,$O$4,$O$2)</f>
        <v>-27025.934645078025</v>
      </c>
      <c r="R73" s="230">
        <f t="shared" ref="R73:R81" si="28">IPMT($O$3/12,O73,$O$4,$O$2)</f>
        <v>-3147.7401947754238</v>
      </c>
      <c r="W73" s="75">
        <v>66</v>
      </c>
      <c r="X73" s="230">
        <f t="shared" si="20"/>
        <v>-353707.60280389956</v>
      </c>
      <c r="Y73" s="230">
        <f t="shared" ref="Y73:Y79" si="29">PPMT($O$3/12,W73,$O$4,$O$2)</f>
        <v>-27025.934645078025</v>
      </c>
      <c r="Z73" s="230">
        <f t="shared" ref="Z73:Z79" si="30">IPMT($O$3/12,W73,$O$4,$O$2)</f>
        <v>-3147.7401947754238</v>
      </c>
    </row>
    <row r="74" spans="1:26" s="75" customFormat="1">
      <c r="A74" s="76">
        <f t="shared" ref="A74:A81" si="31">EDATE(A73,1)</f>
        <v>47880</v>
      </c>
      <c r="B74" s="230">
        <f t="shared" si="24"/>
        <v>-659260.58378886431</v>
      </c>
      <c r="K74" s="75">
        <v>67</v>
      </c>
      <c r="L74" s="230">
        <f t="shared" ref="L74:L81" si="32">L73+$K$5</f>
        <v>-97250.369518682681</v>
      </c>
      <c r="M74" s="230">
        <f t="shared" si="25"/>
        <v>-487.08584867077269</v>
      </c>
      <c r="N74" s="230">
        <f t="shared" si="26"/>
        <v>-487.08584867077269</v>
      </c>
      <c r="O74" s="75">
        <v>67</v>
      </c>
      <c r="P74" s="230">
        <f t="shared" ref="P74:P81" si="33">P73+$O$5</f>
        <v>-562010.2142701816</v>
      </c>
      <c r="Q74" s="230">
        <f t="shared" si="27"/>
        <v>-27358.804073456577</v>
      </c>
      <c r="R74" s="230">
        <f t="shared" si="28"/>
        <v>-2814.8707663968789</v>
      </c>
      <c r="W74" s="75">
        <v>67</v>
      </c>
      <c r="X74" s="230">
        <f t="shared" ref="X74:X79" si="34">X73+$O$5</f>
        <v>-383881.27764375298</v>
      </c>
      <c r="Y74" s="230">
        <f t="shared" si="29"/>
        <v>-27358.804073456577</v>
      </c>
      <c r="Z74" s="230">
        <f t="shared" si="30"/>
        <v>-2814.8707663968789</v>
      </c>
    </row>
    <row r="75" spans="1:26" s="75" customFormat="1">
      <c r="A75" s="76">
        <f t="shared" si="31"/>
        <v>47908</v>
      </c>
      <c r="B75" s="230">
        <f t="shared" si="24"/>
        <v>-694655.51787526521</v>
      </c>
      <c r="K75" s="75">
        <v>68</v>
      </c>
      <c r="L75" s="230">
        <f t="shared" si="32"/>
        <v>-102471.62876523018</v>
      </c>
      <c r="M75" s="230">
        <f t="shared" si="25"/>
        <v>-428.77661298692442</v>
      </c>
      <c r="N75" s="230">
        <f t="shared" si="26"/>
        <v>-428.77661298692442</v>
      </c>
      <c r="O75" s="75">
        <v>68</v>
      </c>
      <c r="P75" s="230">
        <f t="shared" si="33"/>
        <v>-592183.88911003503</v>
      </c>
      <c r="Q75" s="230">
        <f t="shared" si="27"/>
        <v>-27695.773343627978</v>
      </c>
      <c r="R75" s="230">
        <f t="shared" si="28"/>
        <v>-2477.9014962254728</v>
      </c>
      <c r="W75" s="75">
        <v>68</v>
      </c>
      <c r="X75" s="230">
        <f t="shared" si="34"/>
        <v>-414054.95248360641</v>
      </c>
      <c r="Y75" s="230">
        <f t="shared" si="29"/>
        <v>-27695.773343627978</v>
      </c>
      <c r="Z75" s="230">
        <f t="shared" si="30"/>
        <v>-2477.9014962254728</v>
      </c>
    </row>
    <row r="76" spans="1:26" s="75" customFormat="1">
      <c r="A76" s="76">
        <f t="shared" si="31"/>
        <v>47939</v>
      </c>
      <c r="B76" s="230">
        <f t="shared" si="24"/>
        <v>-730050.45196166611</v>
      </c>
      <c r="K76" s="75">
        <v>69</v>
      </c>
      <c r="L76" s="230">
        <f t="shared" si="32"/>
        <v>-107692.88801177769</v>
      </c>
      <c r="M76" s="230">
        <f t="shared" si="25"/>
        <v>-369.74920188356992</v>
      </c>
      <c r="N76" s="230">
        <f t="shared" si="26"/>
        <v>-369.74920188356992</v>
      </c>
      <c r="O76" s="75">
        <v>69</v>
      </c>
      <c r="P76" s="230">
        <f t="shared" si="33"/>
        <v>-622357.56394988846</v>
      </c>
      <c r="Q76" s="230">
        <f t="shared" si="27"/>
        <v>-28036.892951976995</v>
      </c>
      <c r="R76" s="230">
        <f t="shared" si="28"/>
        <v>-2136.7818878764547</v>
      </c>
      <c r="W76" s="75">
        <v>69</v>
      </c>
      <c r="X76" s="230">
        <f t="shared" si="34"/>
        <v>-444228.62732345983</v>
      </c>
      <c r="Y76" s="230">
        <f t="shared" si="29"/>
        <v>-28036.892951976995</v>
      </c>
      <c r="Z76" s="230">
        <f t="shared" si="30"/>
        <v>-2136.7818878764547</v>
      </c>
    </row>
    <row r="77" spans="1:26" s="75" customFormat="1">
      <c r="A77" s="76">
        <f t="shared" si="31"/>
        <v>47969</v>
      </c>
      <c r="B77" s="230">
        <f t="shared" si="24"/>
        <v>-765445.38604806713</v>
      </c>
      <c r="K77" s="75">
        <v>70</v>
      </c>
      <c r="L77" s="230">
        <f t="shared" si="32"/>
        <v>-112914.14725832519</v>
      </c>
      <c r="M77" s="230">
        <f t="shared" si="25"/>
        <v>-309.99476983345915</v>
      </c>
      <c r="N77" s="230">
        <f t="shared" si="26"/>
        <v>-309.99476983345915</v>
      </c>
      <c r="O77" s="75">
        <v>70</v>
      </c>
      <c r="P77" s="230">
        <f t="shared" si="33"/>
        <v>-652531.23878974188</v>
      </c>
      <c r="Q77" s="230">
        <f t="shared" si="27"/>
        <v>-28382.214016835514</v>
      </c>
      <c r="R77" s="230">
        <f t="shared" si="28"/>
        <v>-1791.4608230179381</v>
      </c>
      <c r="W77" s="75">
        <v>70</v>
      </c>
      <c r="X77" s="230">
        <f t="shared" si="34"/>
        <v>-474402.30216331326</v>
      </c>
      <c r="Y77" s="230">
        <f t="shared" si="29"/>
        <v>-28382.214016835514</v>
      </c>
      <c r="Z77" s="230">
        <f t="shared" si="30"/>
        <v>-1791.4608230179381</v>
      </c>
    </row>
    <row r="78" spans="1:26" s="75" customFormat="1">
      <c r="A78" s="76">
        <f t="shared" si="31"/>
        <v>48000</v>
      </c>
      <c r="B78" s="230">
        <f t="shared" si="24"/>
        <v>-800840.32013446803</v>
      </c>
      <c r="K78" s="75">
        <v>71</v>
      </c>
      <c r="L78" s="230">
        <f t="shared" si="32"/>
        <v>-118135.40650487269</v>
      </c>
      <c r="M78" s="230">
        <f t="shared" si="25"/>
        <v>-249.50436236193119</v>
      </c>
      <c r="N78" s="230">
        <f t="shared" si="26"/>
        <v>-249.50436236193119</v>
      </c>
      <c r="O78" s="75">
        <v>71</v>
      </c>
      <c r="P78" s="230">
        <f t="shared" si="33"/>
        <v>-682704.91362959531</v>
      </c>
      <c r="Q78" s="230">
        <f t="shared" si="27"/>
        <v>-28731.78828614287</v>
      </c>
      <c r="R78" s="230">
        <f t="shared" si="28"/>
        <v>-1441.8865537105805</v>
      </c>
      <c r="W78" s="75">
        <v>71</v>
      </c>
      <c r="X78" s="230">
        <f t="shared" si="34"/>
        <v>-504575.97700316668</v>
      </c>
      <c r="Y78" s="230">
        <f t="shared" si="29"/>
        <v>-28731.78828614287</v>
      </c>
      <c r="Z78" s="230">
        <f t="shared" si="30"/>
        <v>-1441.8865537105805</v>
      </c>
    </row>
    <row r="79" spans="1:26" s="75" customFormat="1">
      <c r="A79" s="76">
        <f t="shared" si="31"/>
        <v>48030</v>
      </c>
      <c r="B79" s="230">
        <f t="shared" si="24"/>
        <v>-836235.25422086893</v>
      </c>
      <c r="K79" s="75">
        <v>72</v>
      </c>
      <c r="L79" s="230">
        <f t="shared" si="32"/>
        <v>-123356.66575142019</v>
      </c>
      <c r="M79" s="230">
        <f t="shared" si="25"/>
        <v>-188.26891470504557</v>
      </c>
      <c r="N79" s="230">
        <f t="shared" si="26"/>
        <v>-188.26891470504557</v>
      </c>
      <c r="O79" s="75">
        <v>72</v>
      </c>
      <c r="P79" s="230">
        <f t="shared" si="33"/>
        <v>-712878.58846944873</v>
      </c>
      <c r="Q79" s="230">
        <f t="shared" si="27"/>
        <v>-29085.668145200532</v>
      </c>
      <c r="R79" s="230">
        <f t="shared" si="28"/>
        <v>-1088.0066946529209</v>
      </c>
      <c r="W79" s="75">
        <v>72</v>
      </c>
      <c r="X79" s="230">
        <f t="shared" si="34"/>
        <v>-534749.65184302011</v>
      </c>
      <c r="Y79" s="230">
        <f t="shared" si="29"/>
        <v>-29085.668145200532</v>
      </c>
      <c r="Z79" s="230">
        <f t="shared" si="30"/>
        <v>-1088.0066946529209</v>
      </c>
    </row>
    <row r="80" spans="1:26" s="75" customFormat="1">
      <c r="A80" s="76">
        <f t="shared" si="31"/>
        <v>48061</v>
      </c>
      <c r="B80" s="230">
        <f t="shared" si="24"/>
        <v>-871630.18830726983</v>
      </c>
      <c r="K80" s="75">
        <v>73</v>
      </c>
      <c r="L80" s="230">
        <f t="shared" si="32"/>
        <v>-128577.9249979677</v>
      </c>
      <c r="M80" s="230">
        <f t="shared" si="25"/>
        <v>-126.27925045118596</v>
      </c>
      <c r="N80" s="230">
        <f t="shared" si="26"/>
        <v>-126.27925045118596</v>
      </c>
      <c r="O80" s="75">
        <v>73</v>
      </c>
      <c r="P80" s="230">
        <f t="shared" si="33"/>
        <v>-743052.26330930216</v>
      </c>
      <c r="Q80" s="230">
        <f t="shared" si="27"/>
        <v>-29443.906624522253</v>
      </c>
      <c r="R80" s="230">
        <f t="shared" si="28"/>
        <v>-729.76821533120096</v>
      </c>
    </row>
    <row r="81" spans="1:18" s="75" customFormat="1">
      <c r="A81" s="76">
        <f t="shared" si="31"/>
        <v>48092</v>
      </c>
      <c r="B81" s="230">
        <f t="shared" si="24"/>
        <v>-907025.12239367072</v>
      </c>
      <c r="K81" s="75">
        <v>74</v>
      </c>
      <c r="L81" s="230">
        <f t="shared" si="32"/>
        <v>-133799.1842445152</v>
      </c>
      <c r="M81" s="230">
        <f t="shared" si="25"/>
        <v>-63.526080165932996</v>
      </c>
      <c r="N81" s="230">
        <f t="shared" si="26"/>
        <v>-63.526080165932996</v>
      </c>
      <c r="O81" s="75">
        <v>74</v>
      </c>
      <c r="P81" s="230">
        <f t="shared" si="33"/>
        <v>-773225.93814915558</v>
      </c>
      <c r="Q81" s="230">
        <f t="shared" si="27"/>
        <v>-29806.557407780951</v>
      </c>
      <c r="R81" s="230">
        <f t="shared" si="28"/>
        <v>-367.11743207250197</v>
      </c>
    </row>
  </sheetData>
  <mergeCells count="30">
    <mergeCell ref="S1:V1"/>
    <mergeCell ref="S2:V2"/>
    <mergeCell ref="S3:V3"/>
    <mergeCell ref="S4:V4"/>
    <mergeCell ref="S5:V5"/>
    <mergeCell ref="W1:Z1"/>
    <mergeCell ref="W2:Z2"/>
    <mergeCell ref="W3:Z3"/>
    <mergeCell ref="W4:Z4"/>
    <mergeCell ref="W5:Z5"/>
    <mergeCell ref="K5:N5"/>
    <mergeCell ref="K4:N4"/>
    <mergeCell ref="K3:N3"/>
    <mergeCell ref="K2:N2"/>
    <mergeCell ref="K1:N1"/>
    <mergeCell ref="O1:R1"/>
    <mergeCell ref="O2:R2"/>
    <mergeCell ref="O3:R3"/>
    <mergeCell ref="O4:R4"/>
    <mergeCell ref="O5:R5"/>
    <mergeCell ref="C1:F1"/>
    <mergeCell ref="C2:F2"/>
    <mergeCell ref="C3:F3"/>
    <mergeCell ref="C4:F4"/>
    <mergeCell ref="C5:F5"/>
    <mergeCell ref="G1:J1"/>
    <mergeCell ref="G2:J2"/>
    <mergeCell ref="G3:J3"/>
    <mergeCell ref="G4:J4"/>
    <mergeCell ref="G5:J5"/>
  </mergeCells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03201F5-E332-43B9-B399-1C8EC58F243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現金流量表 (手打、整合)</vt:lpstr>
      <vt:lpstr>DASHBOARD</vt:lpstr>
      <vt:lpstr>Resources</vt:lpstr>
      <vt:lpstr>評估表</vt:lpstr>
      <vt:lpstr>收入規劃</vt:lpstr>
      <vt:lpstr>支出規劃</vt:lpstr>
      <vt:lpstr>記帳區</vt:lpstr>
      <vt:lpstr>資產負債表</vt:lpstr>
      <vt:lpstr>現金流量表(連動)</vt:lpstr>
      <vt:lpstr>資產投資組合</vt:lpstr>
      <vt:lpstr>保險計畫表</vt:lpstr>
      <vt:lpstr>貸款試算</vt:lpstr>
    </vt:vector>
  </TitlesOfParts>
  <Manager/>
  <Company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安泰 謝</dc:creator>
  <cp:keywords/>
  <dc:description/>
  <cp:lastModifiedBy>aetna</cp:lastModifiedBy>
  <cp:revision/>
  <dcterms:created xsi:type="dcterms:W3CDTF">2023-03-12T21:47:13Z</dcterms:created>
  <dcterms:modified xsi:type="dcterms:W3CDTF">2025-10-27T12:14:05Z</dcterms:modified>
  <cp:category/>
  <cp:contentStatus/>
</cp:coreProperties>
</file>